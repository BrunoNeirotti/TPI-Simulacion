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Escritorio\UTN\2 - PENDIENTES\Simulación\TPI\docs\"/>
    </mc:Choice>
  </mc:AlternateContent>
  <xr:revisionPtr revIDLastSave="0" documentId="13_ncr:1_{C748A57D-D60E-4E52-A801-70249BA0F859}" xr6:coauthVersionLast="47" xr6:coauthVersionMax="47" xr10:uidLastSave="{00000000-0000-0000-0000-000000000000}"/>
  <bookViews>
    <workbookView xWindow="-120" yWindow="-120" windowWidth="29040" windowHeight="15720" xr2:uid="{00000000-000D-0000-FFFF-FFFF00000000}"/>
  </bookViews>
  <sheets>
    <sheet name="Leeme" sheetId="1" r:id="rId1"/>
    <sheet name="Resumen" sheetId="2" r:id="rId2"/>
    <sheet name="Efecto F100" sheetId="3" r:id="rId3"/>
    <sheet name="Sensibilidad" sheetId="4" r:id="rId4"/>
    <sheet name="Constitucion" sheetId="5" r:id="rId5"/>
    <sheet name="Control base" sheetId="6" r:id="rId6"/>
    <sheet name="Control F90" sheetId="7" r:id="rId7"/>
    <sheet name="Control F100" sheetId="8" r:id="rId8"/>
    <sheet name="Control F120" sheetId="9" r:id="rId9"/>
    <sheet name="Control F150" sheetId="10" r:id="rId10"/>
    <sheet name="Control F189" sheetId="11" r:id="rId11"/>
    <sheet name="AnyLogic sin F" sheetId="12" r:id="rId12"/>
    <sheet name="AnyLogic F100" sheetId="13" r:id="rId13"/>
    <sheet name="AnyLogic frecuencias" sheetId="14" r:id="rId14"/>
    <sheet name="Sensibilidad réplicas" sheetId="15" r:id="rId15"/>
  </sheets>
  <definedNames>
    <definedName name="z_95">Resumen!$C$5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01" i="15" l="1"/>
  <c r="AN101" i="15"/>
  <c r="AK101" i="15"/>
  <c r="AH101" i="15"/>
  <c r="AE101" i="15"/>
  <c r="AB101" i="15"/>
  <c r="Y101" i="15"/>
  <c r="V101" i="15"/>
  <c r="S101" i="15"/>
  <c r="P101" i="15"/>
  <c r="M101" i="15"/>
  <c r="J101" i="15"/>
  <c r="G101" i="15"/>
  <c r="D101" i="15"/>
  <c r="AQ100" i="15"/>
  <c r="AN100" i="15"/>
  <c r="AK100" i="15"/>
  <c r="AH100" i="15"/>
  <c r="AE100" i="15"/>
  <c r="AB100" i="15"/>
  <c r="Y100" i="15"/>
  <c r="V100" i="15"/>
  <c r="S100" i="15"/>
  <c r="P100" i="15"/>
  <c r="M100" i="15"/>
  <c r="J100" i="15"/>
  <c r="G100" i="15"/>
  <c r="D100" i="15"/>
  <c r="AQ99" i="15"/>
  <c r="AN99" i="15"/>
  <c r="AK99" i="15"/>
  <c r="AH99" i="15"/>
  <c r="AE99" i="15"/>
  <c r="AB99" i="15"/>
  <c r="Y99" i="15"/>
  <c r="V99" i="15"/>
  <c r="S99" i="15"/>
  <c r="P99" i="15"/>
  <c r="M99" i="15"/>
  <c r="J99" i="15"/>
  <c r="G99" i="15"/>
  <c r="D99" i="15"/>
  <c r="AQ98" i="15"/>
  <c r="AN98" i="15"/>
  <c r="AK98" i="15"/>
  <c r="AH98" i="15"/>
  <c r="AE98" i="15"/>
  <c r="AB98" i="15"/>
  <c r="Y98" i="15"/>
  <c r="V98" i="15"/>
  <c r="S98" i="15"/>
  <c r="P98" i="15"/>
  <c r="M98" i="15"/>
  <c r="J98" i="15"/>
  <c r="G98" i="15"/>
  <c r="D98" i="15"/>
  <c r="AQ97" i="15"/>
  <c r="AN97" i="15"/>
  <c r="AK97" i="15"/>
  <c r="AH97" i="15"/>
  <c r="AE97" i="15"/>
  <c r="AB97" i="15"/>
  <c r="Y97" i="15"/>
  <c r="V97" i="15"/>
  <c r="S97" i="15"/>
  <c r="P97" i="15"/>
  <c r="M97" i="15"/>
  <c r="J97" i="15"/>
  <c r="G97" i="15"/>
  <c r="D97" i="15"/>
  <c r="AQ96" i="15"/>
  <c r="AN96" i="15"/>
  <c r="AK96" i="15"/>
  <c r="AH96" i="15"/>
  <c r="AE96" i="15"/>
  <c r="AB96" i="15"/>
  <c r="Y96" i="15"/>
  <c r="V96" i="15"/>
  <c r="S96" i="15"/>
  <c r="P96" i="15"/>
  <c r="M96" i="15"/>
  <c r="J96" i="15"/>
  <c r="G96" i="15"/>
  <c r="D96" i="15"/>
  <c r="AQ95" i="15"/>
  <c r="AN95" i="15"/>
  <c r="AK95" i="15"/>
  <c r="AH95" i="15"/>
  <c r="AE95" i="15"/>
  <c r="AB95" i="15"/>
  <c r="Y95" i="15"/>
  <c r="V95" i="15"/>
  <c r="S95" i="15"/>
  <c r="P95" i="15"/>
  <c r="M95" i="15"/>
  <c r="J95" i="15"/>
  <c r="G95" i="15"/>
  <c r="D95" i="15"/>
  <c r="AQ94" i="15"/>
  <c r="AN94" i="15"/>
  <c r="AK94" i="15"/>
  <c r="AH94" i="15"/>
  <c r="AE94" i="15"/>
  <c r="AB94" i="15"/>
  <c r="Y94" i="15"/>
  <c r="V94" i="15"/>
  <c r="S94" i="15"/>
  <c r="P94" i="15"/>
  <c r="M94" i="15"/>
  <c r="J94" i="15"/>
  <c r="G94" i="15"/>
  <c r="D94" i="15"/>
  <c r="AQ93" i="15"/>
  <c r="AN93" i="15"/>
  <c r="AK93" i="15"/>
  <c r="AH93" i="15"/>
  <c r="AE93" i="15"/>
  <c r="AB93" i="15"/>
  <c r="Y93" i="15"/>
  <c r="V93" i="15"/>
  <c r="S93" i="15"/>
  <c r="P93" i="15"/>
  <c r="M93" i="15"/>
  <c r="J93" i="15"/>
  <c r="G93" i="15"/>
  <c r="D93" i="15"/>
  <c r="AQ92" i="15"/>
  <c r="AN92" i="15"/>
  <c r="AK92" i="15"/>
  <c r="AH92" i="15"/>
  <c r="AE92" i="15"/>
  <c r="AB92" i="15"/>
  <c r="Y92" i="15"/>
  <c r="V92" i="15"/>
  <c r="S92" i="15"/>
  <c r="P92" i="15"/>
  <c r="M92" i="15"/>
  <c r="J92" i="15"/>
  <c r="G92" i="15"/>
  <c r="D92" i="15"/>
  <c r="AQ91" i="15"/>
  <c r="AN91" i="15"/>
  <c r="AK91" i="15"/>
  <c r="AH91" i="15"/>
  <c r="AE91" i="15"/>
  <c r="AB91" i="15"/>
  <c r="Y91" i="15"/>
  <c r="V91" i="15"/>
  <c r="S91" i="15"/>
  <c r="P91" i="15"/>
  <c r="M91" i="15"/>
  <c r="J91" i="15"/>
  <c r="G91" i="15"/>
  <c r="D91" i="15"/>
  <c r="AQ90" i="15"/>
  <c r="AN90" i="15"/>
  <c r="AK90" i="15"/>
  <c r="AH90" i="15"/>
  <c r="AE90" i="15"/>
  <c r="AB90" i="15"/>
  <c r="Y90" i="15"/>
  <c r="V90" i="15"/>
  <c r="S90" i="15"/>
  <c r="P90" i="15"/>
  <c r="M90" i="15"/>
  <c r="J90" i="15"/>
  <c r="G90" i="15"/>
  <c r="D90" i="15"/>
  <c r="AQ89" i="15"/>
  <c r="AN89" i="15"/>
  <c r="AK89" i="15"/>
  <c r="AH89" i="15"/>
  <c r="AE89" i="15"/>
  <c r="AB89" i="15"/>
  <c r="Y89" i="15"/>
  <c r="V89" i="15"/>
  <c r="S89" i="15"/>
  <c r="P89" i="15"/>
  <c r="M89" i="15"/>
  <c r="J89" i="15"/>
  <c r="G89" i="15"/>
  <c r="D89" i="15"/>
  <c r="AQ88" i="15"/>
  <c r="AN88" i="15"/>
  <c r="AK88" i="15"/>
  <c r="AH88" i="15"/>
  <c r="AE88" i="15"/>
  <c r="AB88" i="15"/>
  <c r="Y88" i="15"/>
  <c r="V88" i="15"/>
  <c r="S88" i="15"/>
  <c r="P88" i="15"/>
  <c r="M88" i="15"/>
  <c r="J88" i="15"/>
  <c r="G88" i="15"/>
  <c r="D88" i="15"/>
  <c r="AQ87" i="15"/>
  <c r="AN87" i="15"/>
  <c r="AK87" i="15"/>
  <c r="AH87" i="15"/>
  <c r="AE87" i="15"/>
  <c r="AB87" i="15"/>
  <c r="Y87" i="15"/>
  <c r="V87" i="15"/>
  <c r="S87" i="15"/>
  <c r="P87" i="15"/>
  <c r="M87" i="15"/>
  <c r="J87" i="15"/>
  <c r="G87" i="15"/>
  <c r="D87" i="15"/>
  <c r="AQ86" i="15"/>
  <c r="AN86" i="15"/>
  <c r="AK86" i="15"/>
  <c r="AH86" i="15"/>
  <c r="AE86" i="15"/>
  <c r="AB86" i="15"/>
  <c r="Y86" i="15"/>
  <c r="V86" i="15"/>
  <c r="S86" i="15"/>
  <c r="P86" i="15"/>
  <c r="M86" i="15"/>
  <c r="J86" i="15"/>
  <c r="G86" i="15"/>
  <c r="D86" i="15"/>
  <c r="AQ85" i="15"/>
  <c r="AN85" i="15"/>
  <c r="AK85" i="15"/>
  <c r="AH85" i="15"/>
  <c r="AE85" i="15"/>
  <c r="AB85" i="15"/>
  <c r="Y85" i="15"/>
  <c r="V85" i="15"/>
  <c r="S85" i="15"/>
  <c r="P85" i="15"/>
  <c r="M85" i="15"/>
  <c r="J85" i="15"/>
  <c r="G85" i="15"/>
  <c r="D85" i="15"/>
  <c r="AQ84" i="15"/>
  <c r="AN84" i="15"/>
  <c r="AK84" i="15"/>
  <c r="AH84" i="15"/>
  <c r="AE84" i="15"/>
  <c r="AB84" i="15"/>
  <c r="Y84" i="15"/>
  <c r="V84" i="15"/>
  <c r="S84" i="15"/>
  <c r="P84" i="15"/>
  <c r="M84" i="15"/>
  <c r="J84" i="15"/>
  <c r="G84" i="15"/>
  <c r="D84" i="15"/>
  <c r="AQ83" i="15"/>
  <c r="AN83" i="15"/>
  <c r="AK83" i="15"/>
  <c r="AH83" i="15"/>
  <c r="AE83" i="15"/>
  <c r="AB83" i="15"/>
  <c r="Y83" i="15"/>
  <c r="V83" i="15"/>
  <c r="S83" i="15"/>
  <c r="P83" i="15"/>
  <c r="M83" i="15"/>
  <c r="J83" i="15"/>
  <c r="G83" i="15"/>
  <c r="D83" i="15"/>
  <c r="AQ82" i="15"/>
  <c r="AN82" i="15"/>
  <c r="AK82" i="15"/>
  <c r="AH82" i="15"/>
  <c r="AE82" i="15"/>
  <c r="AB82" i="15"/>
  <c r="Y82" i="15"/>
  <c r="V82" i="15"/>
  <c r="S82" i="15"/>
  <c r="P82" i="15"/>
  <c r="M82" i="15"/>
  <c r="J82" i="15"/>
  <c r="G82" i="15"/>
  <c r="D82" i="15"/>
  <c r="AQ81" i="15"/>
  <c r="AN81" i="15"/>
  <c r="AK81" i="15"/>
  <c r="AH81" i="15"/>
  <c r="AE81" i="15"/>
  <c r="AB81" i="15"/>
  <c r="Y81" i="15"/>
  <c r="V81" i="15"/>
  <c r="S81" i="15"/>
  <c r="P81" i="15"/>
  <c r="M81" i="15"/>
  <c r="J81" i="15"/>
  <c r="G81" i="15"/>
  <c r="D81" i="15"/>
  <c r="AQ80" i="15"/>
  <c r="AN80" i="15"/>
  <c r="AK80" i="15"/>
  <c r="AH80" i="15"/>
  <c r="AE80" i="15"/>
  <c r="AB80" i="15"/>
  <c r="Y80" i="15"/>
  <c r="V80" i="15"/>
  <c r="S80" i="15"/>
  <c r="P80" i="15"/>
  <c r="M80" i="15"/>
  <c r="J80" i="15"/>
  <c r="G80" i="15"/>
  <c r="D80" i="15"/>
  <c r="AQ79" i="15"/>
  <c r="AN79" i="15"/>
  <c r="AK79" i="15"/>
  <c r="AH79" i="15"/>
  <c r="AE79" i="15"/>
  <c r="AB79" i="15"/>
  <c r="Y79" i="15"/>
  <c r="V79" i="15"/>
  <c r="S79" i="15"/>
  <c r="P79" i="15"/>
  <c r="M79" i="15"/>
  <c r="J79" i="15"/>
  <c r="G79" i="15"/>
  <c r="D79" i="15"/>
  <c r="AQ78" i="15"/>
  <c r="AN78" i="15"/>
  <c r="AK78" i="15"/>
  <c r="AH78" i="15"/>
  <c r="AE78" i="15"/>
  <c r="AB78" i="15"/>
  <c r="Y78" i="15"/>
  <c r="V78" i="15"/>
  <c r="S78" i="15"/>
  <c r="P78" i="15"/>
  <c r="M78" i="15"/>
  <c r="J78" i="15"/>
  <c r="G78" i="15"/>
  <c r="D78" i="15"/>
  <c r="AQ77" i="15"/>
  <c r="AN77" i="15"/>
  <c r="AK77" i="15"/>
  <c r="AH77" i="15"/>
  <c r="AE77" i="15"/>
  <c r="AB77" i="15"/>
  <c r="Y77" i="15"/>
  <c r="V77" i="15"/>
  <c r="S77" i="15"/>
  <c r="P77" i="15"/>
  <c r="M77" i="15"/>
  <c r="J77" i="15"/>
  <c r="G77" i="15"/>
  <c r="D77" i="15"/>
  <c r="AQ76" i="15"/>
  <c r="AN76" i="15"/>
  <c r="AK76" i="15"/>
  <c r="AH76" i="15"/>
  <c r="AE76" i="15"/>
  <c r="AB76" i="15"/>
  <c r="Y76" i="15"/>
  <c r="V76" i="15"/>
  <c r="S76" i="15"/>
  <c r="P76" i="15"/>
  <c r="M76" i="15"/>
  <c r="J76" i="15"/>
  <c r="G76" i="15"/>
  <c r="D76" i="15"/>
  <c r="AQ75" i="15"/>
  <c r="AN75" i="15"/>
  <c r="AK75" i="15"/>
  <c r="AH75" i="15"/>
  <c r="AE75" i="15"/>
  <c r="AB75" i="15"/>
  <c r="Y75" i="15"/>
  <c r="V75" i="15"/>
  <c r="S75" i="15"/>
  <c r="P75" i="15"/>
  <c r="M75" i="15"/>
  <c r="J75" i="15"/>
  <c r="G75" i="15"/>
  <c r="D75" i="15"/>
  <c r="AQ74" i="15"/>
  <c r="AN74" i="15"/>
  <c r="AK74" i="15"/>
  <c r="AH74" i="15"/>
  <c r="AE74" i="15"/>
  <c r="AB74" i="15"/>
  <c r="Y74" i="15"/>
  <c r="V74" i="15"/>
  <c r="S74" i="15"/>
  <c r="P74" i="15"/>
  <c r="M74" i="15"/>
  <c r="J74" i="15"/>
  <c r="G74" i="15"/>
  <c r="D74" i="15"/>
  <c r="AQ73" i="15"/>
  <c r="AN73" i="15"/>
  <c r="AK73" i="15"/>
  <c r="AH73" i="15"/>
  <c r="AE73" i="15"/>
  <c r="AB73" i="15"/>
  <c r="Y73" i="15"/>
  <c r="V73" i="15"/>
  <c r="S73" i="15"/>
  <c r="P73" i="15"/>
  <c r="M73" i="15"/>
  <c r="J73" i="15"/>
  <c r="G73" i="15"/>
  <c r="D73" i="15"/>
  <c r="AQ72" i="15"/>
  <c r="AN72" i="15"/>
  <c r="AK72" i="15"/>
  <c r="AH72" i="15"/>
  <c r="AE72" i="15"/>
  <c r="AB72" i="15"/>
  <c r="Y72" i="15"/>
  <c r="V72" i="15"/>
  <c r="S72" i="15"/>
  <c r="P72" i="15"/>
  <c r="M72" i="15"/>
  <c r="J72" i="15"/>
  <c r="G72" i="15"/>
  <c r="D72" i="15"/>
  <c r="AQ71" i="15"/>
  <c r="AN71" i="15"/>
  <c r="AK71" i="15"/>
  <c r="AH71" i="15"/>
  <c r="AE71" i="15"/>
  <c r="AB71" i="15"/>
  <c r="Y71" i="15"/>
  <c r="V71" i="15"/>
  <c r="S71" i="15"/>
  <c r="P71" i="15"/>
  <c r="M71" i="15"/>
  <c r="J71" i="15"/>
  <c r="G71" i="15"/>
  <c r="D71" i="15"/>
  <c r="AQ70" i="15"/>
  <c r="AN70" i="15"/>
  <c r="AK70" i="15"/>
  <c r="AH70" i="15"/>
  <c r="AE70" i="15"/>
  <c r="AB70" i="15"/>
  <c r="Y70" i="15"/>
  <c r="V70" i="15"/>
  <c r="S70" i="15"/>
  <c r="P70" i="15"/>
  <c r="M70" i="15"/>
  <c r="J70" i="15"/>
  <c r="G70" i="15"/>
  <c r="D70" i="15"/>
  <c r="AQ69" i="15"/>
  <c r="AN69" i="15"/>
  <c r="AK69" i="15"/>
  <c r="AH69" i="15"/>
  <c r="AE69" i="15"/>
  <c r="AB69" i="15"/>
  <c r="Y69" i="15"/>
  <c r="V69" i="15"/>
  <c r="S69" i="15"/>
  <c r="P69" i="15"/>
  <c r="M69" i="15"/>
  <c r="J69" i="15"/>
  <c r="G69" i="15"/>
  <c r="D69" i="15"/>
  <c r="AQ68" i="15"/>
  <c r="AN68" i="15"/>
  <c r="AK68" i="15"/>
  <c r="AH68" i="15"/>
  <c r="AE68" i="15"/>
  <c r="AB68" i="15"/>
  <c r="Y68" i="15"/>
  <c r="V68" i="15"/>
  <c r="S68" i="15"/>
  <c r="P68" i="15"/>
  <c r="M68" i="15"/>
  <c r="J68" i="15"/>
  <c r="G68" i="15"/>
  <c r="D68" i="15"/>
  <c r="AQ67" i="15"/>
  <c r="AN67" i="15"/>
  <c r="AK67" i="15"/>
  <c r="AH67" i="15"/>
  <c r="AE67" i="15"/>
  <c r="AB67" i="15"/>
  <c r="Y67" i="15"/>
  <c r="V67" i="15"/>
  <c r="S67" i="15"/>
  <c r="P67" i="15"/>
  <c r="M67" i="15"/>
  <c r="J67" i="15"/>
  <c r="G67" i="15"/>
  <c r="D67" i="15"/>
  <c r="AQ66" i="15"/>
  <c r="AN66" i="15"/>
  <c r="AK66" i="15"/>
  <c r="AH66" i="15"/>
  <c r="AE66" i="15"/>
  <c r="AB66" i="15"/>
  <c r="Y66" i="15"/>
  <c r="V66" i="15"/>
  <c r="S66" i="15"/>
  <c r="P66" i="15"/>
  <c r="M66" i="15"/>
  <c r="J66" i="15"/>
  <c r="G66" i="15"/>
  <c r="D66" i="15"/>
  <c r="AQ65" i="15"/>
  <c r="AN65" i="15"/>
  <c r="AK65" i="15"/>
  <c r="AH65" i="15"/>
  <c r="AE65" i="15"/>
  <c r="AB65" i="15"/>
  <c r="Y65" i="15"/>
  <c r="V65" i="15"/>
  <c r="S65" i="15"/>
  <c r="P65" i="15"/>
  <c r="M65" i="15"/>
  <c r="J65" i="15"/>
  <c r="G65" i="15"/>
  <c r="D65" i="15"/>
  <c r="AQ64" i="15"/>
  <c r="AN64" i="15"/>
  <c r="AK64" i="15"/>
  <c r="AH64" i="15"/>
  <c r="AE64" i="15"/>
  <c r="AB64" i="15"/>
  <c r="Y64" i="15"/>
  <c r="V64" i="15"/>
  <c r="S64" i="15"/>
  <c r="P64" i="15"/>
  <c r="M64" i="15"/>
  <c r="J64" i="15"/>
  <c r="G64" i="15"/>
  <c r="D64" i="15"/>
  <c r="AQ63" i="15"/>
  <c r="AN63" i="15"/>
  <c r="AK63" i="15"/>
  <c r="AH63" i="15"/>
  <c r="AE63" i="15"/>
  <c r="AB63" i="15"/>
  <c r="Y63" i="15"/>
  <c r="V63" i="15"/>
  <c r="S63" i="15"/>
  <c r="P63" i="15"/>
  <c r="M63" i="15"/>
  <c r="J63" i="15"/>
  <c r="G63" i="15"/>
  <c r="D63" i="15"/>
  <c r="AQ62" i="15"/>
  <c r="AN62" i="15"/>
  <c r="AK62" i="15"/>
  <c r="AH62" i="15"/>
  <c r="AE62" i="15"/>
  <c r="AB62" i="15"/>
  <c r="Y62" i="15"/>
  <c r="V62" i="15"/>
  <c r="S62" i="15"/>
  <c r="P62" i="15"/>
  <c r="M62" i="15"/>
  <c r="J62" i="15"/>
  <c r="G62" i="15"/>
  <c r="D62" i="15"/>
  <c r="AQ61" i="15"/>
  <c r="AN61" i="15"/>
  <c r="AK61" i="15"/>
  <c r="AH61" i="15"/>
  <c r="AE61" i="15"/>
  <c r="AB61" i="15"/>
  <c r="Y61" i="15"/>
  <c r="V61" i="15"/>
  <c r="S61" i="15"/>
  <c r="P61" i="15"/>
  <c r="M61" i="15"/>
  <c r="J61" i="15"/>
  <c r="G61" i="15"/>
  <c r="D61" i="15"/>
  <c r="AQ60" i="15"/>
  <c r="AN60" i="15"/>
  <c r="AK60" i="15"/>
  <c r="AH60" i="15"/>
  <c r="AE60" i="15"/>
  <c r="AB60" i="15"/>
  <c r="Y60" i="15"/>
  <c r="V60" i="15"/>
  <c r="S60" i="15"/>
  <c r="P60" i="15"/>
  <c r="M60" i="15"/>
  <c r="J60" i="15"/>
  <c r="G60" i="15"/>
  <c r="D60" i="15"/>
  <c r="AQ59" i="15"/>
  <c r="AN59" i="15"/>
  <c r="AK59" i="15"/>
  <c r="AH59" i="15"/>
  <c r="AE59" i="15"/>
  <c r="AB59" i="15"/>
  <c r="Y59" i="15"/>
  <c r="V59" i="15"/>
  <c r="S59" i="15"/>
  <c r="P59" i="15"/>
  <c r="M59" i="15"/>
  <c r="J59" i="15"/>
  <c r="G59" i="15"/>
  <c r="D59" i="15"/>
  <c r="AQ58" i="15"/>
  <c r="AN58" i="15"/>
  <c r="AK58" i="15"/>
  <c r="AH58" i="15"/>
  <c r="AE58" i="15"/>
  <c r="AB58" i="15"/>
  <c r="Y58" i="15"/>
  <c r="V58" i="15"/>
  <c r="S58" i="15"/>
  <c r="P58" i="15"/>
  <c r="M58" i="15"/>
  <c r="J58" i="15"/>
  <c r="G58" i="15"/>
  <c r="D58" i="15"/>
  <c r="AQ57" i="15"/>
  <c r="AN57" i="15"/>
  <c r="AK57" i="15"/>
  <c r="AH57" i="15"/>
  <c r="AE57" i="15"/>
  <c r="AB57" i="15"/>
  <c r="Y57" i="15"/>
  <c r="V57" i="15"/>
  <c r="S57" i="15"/>
  <c r="P57" i="15"/>
  <c r="M57" i="15"/>
  <c r="J57" i="15"/>
  <c r="G57" i="15"/>
  <c r="D57" i="15"/>
  <c r="AQ56" i="15"/>
  <c r="AN56" i="15"/>
  <c r="AK56" i="15"/>
  <c r="AH56" i="15"/>
  <c r="AE56" i="15"/>
  <c r="AB56" i="15"/>
  <c r="Y56" i="15"/>
  <c r="V56" i="15"/>
  <c r="S56" i="15"/>
  <c r="P56" i="15"/>
  <c r="M56" i="15"/>
  <c r="J56" i="15"/>
  <c r="G56" i="15"/>
  <c r="D56" i="15"/>
  <c r="AQ55" i="15"/>
  <c r="AN55" i="15"/>
  <c r="AK55" i="15"/>
  <c r="AH55" i="15"/>
  <c r="AE55" i="15"/>
  <c r="AB55" i="15"/>
  <c r="Y55" i="15"/>
  <c r="V55" i="15"/>
  <c r="S55" i="15"/>
  <c r="P55" i="15"/>
  <c r="M55" i="15"/>
  <c r="J55" i="15"/>
  <c r="G55" i="15"/>
  <c r="D55" i="15"/>
  <c r="AQ54" i="15"/>
  <c r="AN54" i="15"/>
  <c r="AK54" i="15"/>
  <c r="AH54" i="15"/>
  <c r="AE54" i="15"/>
  <c r="AB54" i="15"/>
  <c r="Y54" i="15"/>
  <c r="V54" i="15"/>
  <c r="S54" i="15"/>
  <c r="P54" i="15"/>
  <c r="M54" i="15"/>
  <c r="J54" i="15"/>
  <c r="G54" i="15"/>
  <c r="D54" i="15"/>
  <c r="AQ53" i="15"/>
  <c r="AN53" i="15"/>
  <c r="AK53" i="15"/>
  <c r="AH53" i="15"/>
  <c r="AE53" i="15"/>
  <c r="AB53" i="15"/>
  <c r="Y53" i="15"/>
  <c r="V53" i="15"/>
  <c r="S53" i="15"/>
  <c r="P53" i="15"/>
  <c r="M53" i="15"/>
  <c r="J53" i="15"/>
  <c r="G53" i="15"/>
  <c r="D53" i="15"/>
  <c r="AQ52" i="15"/>
  <c r="AN52" i="15"/>
  <c r="AK52" i="15"/>
  <c r="AH52" i="15"/>
  <c r="AE52" i="15"/>
  <c r="AB52" i="15"/>
  <c r="Y52" i="15"/>
  <c r="V52" i="15"/>
  <c r="S52" i="15"/>
  <c r="P52" i="15"/>
  <c r="M52" i="15"/>
  <c r="J52" i="15"/>
  <c r="G52" i="15"/>
  <c r="D52" i="15"/>
  <c r="AQ51" i="15"/>
  <c r="AN51" i="15"/>
  <c r="AK51" i="15"/>
  <c r="AH51" i="15"/>
  <c r="AE51" i="15"/>
  <c r="AB51" i="15"/>
  <c r="Y51" i="15"/>
  <c r="V51" i="15"/>
  <c r="S51" i="15"/>
  <c r="P51" i="15"/>
  <c r="M51" i="15"/>
  <c r="J51" i="15"/>
  <c r="G51" i="15"/>
  <c r="D51" i="15"/>
  <c r="AQ50" i="15"/>
  <c r="AN50" i="15"/>
  <c r="AK50" i="15"/>
  <c r="AH50" i="15"/>
  <c r="AE50" i="15"/>
  <c r="AB50" i="15"/>
  <c r="Y50" i="15"/>
  <c r="V50" i="15"/>
  <c r="S50" i="15"/>
  <c r="P50" i="15"/>
  <c r="M50" i="15"/>
  <c r="J50" i="15"/>
  <c r="G50" i="15"/>
  <c r="D50" i="15"/>
  <c r="AQ49" i="15"/>
  <c r="AN49" i="15"/>
  <c r="AK49" i="15"/>
  <c r="AH49" i="15"/>
  <c r="AE49" i="15"/>
  <c r="AB49" i="15"/>
  <c r="Y49" i="15"/>
  <c r="V49" i="15"/>
  <c r="S49" i="15"/>
  <c r="P49" i="15"/>
  <c r="M49" i="15"/>
  <c r="J49" i="15"/>
  <c r="G49" i="15"/>
  <c r="D49" i="15"/>
  <c r="AQ48" i="15"/>
  <c r="AN48" i="15"/>
  <c r="AK48" i="15"/>
  <c r="AH48" i="15"/>
  <c r="AE48" i="15"/>
  <c r="AB48" i="15"/>
  <c r="Y48" i="15"/>
  <c r="V48" i="15"/>
  <c r="S48" i="15"/>
  <c r="P48" i="15"/>
  <c r="M48" i="15"/>
  <c r="J48" i="15"/>
  <c r="G48" i="15"/>
  <c r="D48" i="15"/>
  <c r="AQ47" i="15"/>
  <c r="AN47" i="15"/>
  <c r="AK47" i="15"/>
  <c r="AH47" i="15"/>
  <c r="AE47" i="15"/>
  <c r="AB47" i="15"/>
  <c r="Y47" i="15"/>
  <c r="V47" i="15"/>
  <c r="S47" i="15"/>
  <c r="P47" i="15"/>
  <c r="M47" i="15"/>
  <c r="J47" i="15"/>
  <c r="G47" i="15"/>
  <c r="D47" i="15"/>
  <c r="AQ46" i="15"/>
  <c r="AN46" i="15"/>
  <c r="AK46" i="15"/>
  <c r="AH46" i="15"/>
  <c r="AE46" i="15"/>
  <c r="AB46" i="15"/>
  <c r="Y46" i="15"/>
  <c r="V46" i="15"/>
  <c r="S46" i="15"/>
  <c r="P46" i="15"/>
  <c r="M46" i="15"/>
  <c r="J46" i="15"/>
  <c r="G46" i="15"/>
  <c r="D46" i="15"/>
  <c r="AQ45" i="15"/>
  <c r="AN45" i="15"/>
  <c r="AK45" i="15"/>
  <c r="AH45" i="15"/>
  <c r="AE45" i="15"/>
  <c r="AB45" i="15"/>
  <c r="Y45" i="15"/>
  <c r="V45" i="15"/>
  <c r="S45" i="15"/>
  <c r="P45" i="15"/>
  <c r="M45" i="15"/>
  <c r="J45" i="15"/>
  <c r="G45" i="15"/>
  <c r="D45" i="15"/>
  <c r="AQ44" i="15"/>
  <c r="AN44" i="15"/>
  <c r="AK44" i="15"/>
  <c r="AH44" i="15"/>
  <c r="AE44" i="15"/>
  <c r="AB44" i="15"/>
  <c r="Y44" i="15"/>
  <c r="V44" i="15"/>
  <c r="S44" i="15"/>
  <c r="P44" i="15"/>
  <c r="M44" i="15"/>
  <c r="J44" i="15"/>
  <c r="G44" i="15"/>
  <c r="D44" i="15"/>
  <c r="AQ43" i="15"/>
  <c r="AN43" i="15"/>
  <c r="AK43" i="15"/>
  <c r="AH43" i="15"/>
  <c r="AE43" i="15"/>
  <c r="AB43" i="15"/>
  <c r="Y43" i="15"/>
  <c r="V43" i="15"/>
  <c r="S43" i="15"/>
  <c r="P43" i="15"/>
  <c r="M43" i="15"/>
  <c r="J43" i="15"/>
  <c r="G43" i="15"/>
  <c r="D43" i="15"/>
  <c r="AQ42" i="15"/>
  <c r="AN42" i="15"/>
  <c r="AK42" i="15"/>
  <c r="AH42" i="15"/>
  <c r="AE42" i="15"/>
  <c r="AB42" i="15"/>
  <c r="Y42" i="15"/>
  <c r="V42" i="15"/>
  <c r="S42" i="15"/>
  <c r="P42" i="15"/>
  <c r="M42" i="15"/>
  <c r="J42" i="15"/>
  <c r="G42" i="15"/>
  <c r="D42" i="15"/>
  <c r="AQ41" i="15"/>
  <c r="AN41" i="15"/>
  <c r="AK41" i="15"/>
  <c r="AH41" i="15"/>
  <c r="AE41" i="15"/>
  <c r="AB41" i="15"/>
  <c r="Y41" i="15"/>
  <c r="V41" i="15"/>
  <c r="S41" i="15"/>
  <c r="P41" i="15"/>
  <c r="M41" i="15"/>
  <c r="J41" i="15"/>
  <c r="G41" i="15"/>
  <c r="D41" i="15"/>
  <c r="AQ40" i="15"/>
  <c r="AN40" i="15"/>
  <c r="AK40" i="15"/>
  <c r="AH40" i="15"/>
  <c r="AE40" i="15"/>
  <c r="AB40" i="15"/>
  <c r="Y40" i="15"/>
  <c r="V40" i="15"/>
  <c r="S40" i="15"/>
  <c r="P40" i="15"/>
  <c r="M40" i="15"/>
  <c r="J40" i="15"/>
  <c r="G40" i="15"/>
  <c r="D40" i="15"/>
  <c r="AQ39" i="15"/>
  <c r="AN39" i="15"/>
  <c r="AK39" i="15"/>
  <c r="AH39" i="15"/>
  <c r="AE39" i="15"/>
  <c r="AB39" i="15"/>
  <c r="Y39" i="15"/>
  <c r="V39" i="15"/>
  <c r="S39" i="15"/>
  <c r="P39" i="15"/>
  <c r="M39" i="15"/>
  <c r="J39" i="15"/>
  <c r="G39" i="15"/>
  <c r="D39" i="15"/>
  <c r="AQ38" i="15"/>
  <c r="AN38" i="15"/>
  <c r="AK38" i="15"/>
  <c r="AH38" i="15"/>
  <c r="AE38" i="15"/>
  <c r="AB38" i="15"/>
  <c r="Y38" i="15"/>
  <c r="V38" i="15"/>
  <c r="S38" i="15"/>
  <c r="P38" i="15"/>
  <c r="M38" i="15"/>
  <c r="J38" i="15"/>
  <c r="G38" i="15"/>
  <c r="D38" i="15"/>
  <c r="AQ37" i="15"/>
  <c r="AN37" i="15"/>
  <c r="AK37" i="15"/>
  <c r="AH37" i="15"/>
  <c r="AE37" i="15"/>
  <c r="AB37" i="15"/>
  <c r="Y37" i="15"/>
  <c r="V37" i="15"/>
  <c r="S37" i="15"/>
  <c r="P37" i="15"/>
  <c r="M37" i="15"/>
  <c r="J37" i="15"/>
  <c r="G37" i="15"/>
  <c r="D37" i="15"/>
  <c r="AQ36" i="15"/>
  <c r="AN36" i="15"/>
  <c r="AK36" i="15"/>
  <c r="AH36" i="15"/>
  <c r="AE36" i="15"/>
  <c r="AB36" i="15"/>
  <c r="Y36" i="15"/>
  <c r="V36" i="15"/>
  <c r="S36" i="15"/>
  <c r="P36" i="15"/>
  <c r="M36" i="15"/>
  <c r="J36" i="15"/>
  <c r="G36" i="15"/>
  <c r="D36" i="15"/>
  <c r="AQ35" i="15"/>
  <c r="AN35" i="15"/>
  <c r="AK35" i="15"/>
  <c r="AH35" i="15"/>
  <c r="AE35" i="15"/>
  <c r="AB35" i="15"/>
  <c r="Y35" i="15"/>
  <c r="V35" i="15"/>
  <c r="S35" i="15"/>
  <c r="P35" i="15"/>
  <c r="M35" i="15"/>
  <c r="J35" i="15"/>
  <c r="G35" i="15"/>
  <c r="D35" i="15"/>
  <c r="AQ34" i="15"/>
  <c r="AN34" i="15"/>
  <c r="AK34" i="15"/>
  <c r="AH34" i="15"/>
  <c r="AE34" i="15"/>
  <c r="AB34" i="15"/>
  <c r="Y34" i="15"/>
  <c r="V34" i="15"/>
  <c r="S34" i="15"/>
  <c r="P34" i="15"/>
  <c r="M34" i="15"/>
  <c r="J34" i="15"/>
  <c r="G34" i="15"/>
  <c r="D34" i="15"/>
  <c r="AQ33" i="15"/>
  <c r="AN33" i="15"/>
  <c r="AK33" i="15"/>
  <c r="AH33" i="15"/>
  <c r="AE33" i="15"/>
  <c r="AB33" i="15"/>
  <c r="Y33" i="15"/>
  <c r="V33" i="15"/>
  <c r="S33" i="15"/>
  <c r="P33" i="15"/>
  <c r="M33" i="15"/>
  <c r="J33" i="15"/>
  <c r="G33" i="15"/>
  <c r="D33" i="15"/>
  <c r="AQ32" i="15"/>
  <c r="AN32" i="15"/>
  <c r="AK32" i="15"/>
  <c r="AH32" i="15"/>
  <c r="AE32" i="15"/>
  <c r="AB32" i="15"/>
  <c r="Y32" i="15"/>
  <c r="V32" i="15"/>
  <c r="S32" i="15"/>
  <c r="P32" i="15"/>
  <c r="M32" i="15"/>
  <c r="J32" i="15"/>
  <c r="G32" i="15"/>
  <c r="D32" i="15"/>
  <c r="AQ31" i="15"/>
  <c r="AN31" i="15"/>
  <c r="AK31" i="15"/>
  <c r="AH31" i="15"/>
  <c r="AE31" i="15"/>
  <c r="AB31" i="15"/>
  <c r="Y31" i="15"/>
  <c r="V31" i="15"/>
  <c r="S31" i="15"/>
  <c r="P31" i="15"/>
  <c r="M31" i="15"/>
  <c r="J31" i="15"/>
  <c r="G31" i="15"/>
  <c r="D31" i="15"/>
  <c r="AQ30" i="15"/>
  <c r="AN30" i="15"/>
  <c r="AK30" i="15"/>
  <c r="AH30" i="15"/>
  <c r="AE30" i="15"/>
  <c r="AB30" i="15"/>
  <c r="Y30" i="15"/>
  <c r="V30" i="15"/>
  <c r="S30" i="15"/>
  <c r="P30" i="15"/>
  <c r="M30" i="15"/>
  <c r="J30" i="15"/>
  <c r="G30" i="15"/>
  <c r="D30" i="15"/>
  <c r="AQ29" i="15"/>
  <c r="AN29" i="15"/>
  <c r="AK29" i="15"/>
  <c r="AH29" i="15"/>
  <c r="AE29" i="15"/>
  <c r="AB29" i="15"/>
  <c r="Y29" i="15"/>
  <c r="V29" i="15"/>
  <c r="S29" i="15"/>
  <c r="P29" i="15"/>
  <c r="M29" i="15"/>
  <c r="J29" i="15"/>
  <c r="G29" i="15"/>
  <c r="D29" i="15"/>
  <c r="AQ28" i="15"/>
  <c r="AN28" i="15"/>
  <c r="AK28" i="15"/>
  <c r="AH28" i="15"/>
  <c r="AE28" i="15"/>
  <c r="AB28" i="15"/>
  <c r="Y28" i="15"/>
  <c r="V28" i="15"/>
  <c r="S28" i="15"/>
  <c r="P28" i="15"/>
  <c r="M28" i="15"/>
  <c r="J28" i="15"/>
  <c r="G28" i="15"/>
  <c r="D28" i="15"/>
  <c r="AQ27" i="15"/>
  <c r="AN27" i="15"/>
  <c r="AK27" i="15"/>
  <c r="AH27" i="15"/>
  <c r="AE27" i="15"/>
  <c r="AB27" i="15"/>
  <c r="Y27" i="15"/>
  <c r="V27" i="15"/>
  <c r="S27" i="15"/>
  <c r="P27" i="15"/>
  <c r="M27" i="15"/>
  <c r="J27" i="15"/>
  <c r="G27" i="15"/>
  <c r="D27" i="15"/>
  <c r="AQ26" i="15"/>
  <c r="AN26" i="15"/>
  <c r="AK26" i="15"/>
  <c r="AH26" i="15"/>
  <c r="AE26" i="15"/>
  <c r="AB26" i="15"/>
  <c r="Y26" i="15"/>
  <c r="V26" i="15"/>
  <c r="S26" i="15"/>
  <c r="P26" i="15"/>
  <c r="M26" i="15"/>
  <c r="J26" i="15"/>
  <c r="G26" i="15"/>
  <c r="D26" i="15"/>
  <c r="AQ25" i="15"/>
  <c r="AN25" i="15"/>
  <c r="AK25" i="15"/>
  <c r="AH25" i="15"/>
  <c r="AE25" i="15"/>
  <c r="AB25" i="15"/>
  <c r="Y25" i="15"/>
  <c r="V25" i="15"/>
  <c r="S25" i="15"/>
  <c r="P25" i="15"/>
  <c r="M25" i="15"/>
  <c r="J25" i="15"/>
  <c r="G25" i="15"/>
  <c r="D25" i="15"/>
  <c r="AQ24" i="15"/>
  <c r="AN24" i="15"/>
  <c r="AK24" i="15"/>
  <c r="AH24" i="15"/>
  <c r="AE24" i="15"/>
  <c r="AB24" i="15"/>
  <c r="Y24" i="15"/>
  <c r="V24" i="15"/>
  <c r="S24" i="15"/>
  <c r="P24" i="15"/>
  <c r="M24" i="15"/>
  <c r="J24" i="15"/>
  <c r="G24" i="15"/>
  <c r="D24" i="15"/>
  <c r="AQ23" i="15"/>
  <c r="AN23" i="15"/>
  <c r="AK23" i="15"/>
  <c r="AH23" i="15"/>
  <c r="AE23" i="15"/>
  <c r="AB23" i="15"/>
  <c r="Y23" i="15"/>
  <c r="V23" i="15"/>
  <c r="S23" i="15"/>
  <c r="P23" i="15"/>
  <c r="M23" i="15"/>
  <c r="J23" i="15"/>
  <c r="G23" i="15"/>
  <c r="D23" i="15"/>
  <c r="AQ22" i="15"/>
  <c r="AN22" i="15"/>
  <c r="AK22" i="15"/>
  <c r="AH22" i="15"/>
  <c r="AE22" i="15"/>
  <c r="AB22" i="15"/>
  <c r="Y22" i="15"/>
  <c r="V22" i="15"/>
  <c r="S22" i="15"/>
  <c r="P22" i="15"/>
  <c r="M22" i="15"/>
  <c r="J22" i="15"/>
  <c r="G22" i="15"/>
  <c r="D22" i="15"/>
  <c r="AQ21" i="15"/>
  <c r="AN21" i="15"/>
  <c r="AK21" i="15"/>
  <c r="AH21" i="15"/>
  <c r="AE21" i="15"/>
  <c r="AB21" i="15"/>
  <c r="Y21" i="15"/>
  <c r="V21" i="15"/>
  <c r="S21" i="15"/>
  <c r="P21" i="15"/>
  <c r="M21" i="15"/>
  <c r="J21" i="15"/>
  <c r="G21" i="15"/>
  <c r="D21" i="15"/>
  <c r="AQ20" i="15"/>
  <c r="AN20" i="15"/>
  <c r="AK20" i="15"/>
  <c r="AH20" i="15"/>
  <c r="AE20" i="15"/>
  <c r="AB20" i="15"/>
  <c r="Y20" i="15"/>
  <c r="V20" i="15"/>
  <c r="S20" i="15"/>
  <c r="P20" i="15"/>
  <c r="M20" i="15"/>
  <c r="J20" i="15"/>
  <c r="G20" i="15"/>
  <c r="D20" i="15"/>
  <c r="AQ19" i="15"/>
  <c r="AN19" i="15"/>
  <c r="AK19" i="15"/>
  <c r="AH19" i="15"/>
  <c r="AE19" i="15"/>
  <c r="AB19" i="15"/>
  <c r="Y19" i="15"/>
  <c r="V19" i="15"/>
  <c r="S19" i="15"/>
  <c r="P19" i="15"/>
  <c r="M19" i="15"/>
  <c r="J19" i="15"/>
  <c r="G19" i="15"/>
  <c r="D19" i="15"/>
  <c r="AQ18" i="15"/>
  <c r="AN18" i="15"/>
  <c r="AK18" i="15"/>
  <c r="AH18" i="15"/>
  <c r="AE18" i="15"/>
  <c r="AB18" i="15"/>
  <c r="Y18" i="15"/>
  <c r="V18" i="15"/>
  <c r="S18" i="15"/>
  <c r="P18" i="15"/>
  <c r="M18" i="15"/>
  <c r="J18" i="15"/>
  <c r="G18" i="15"/>
  <c r="D18" i="15"/>
  <c r="AQ17" i="15"/>
  <c r="AN17" i="15"/>
  <c r="AK17" i="15"/>
  <c r="AH17" i="15"/>
  <c r="AE17" i="15"/>
  <c r="AB17" i="15"/>
  <c r="Y17" i="15"/>
  <c r="V17" i="15"/>
  <c r="S17" i="15"/>
  <c r="P17" i="15"/>
  <c r="M17" i="15"/>
  <c r="J17" i="15"/>
  <c r="G17" i="15"/>
  <c r="D17" i="15"/>
  <c r="AQ16" i="15"/>
  <c r="AN16" i="15"/>
  <c r="AK16" i="15"/>
  <c r="AH16" i="15"/>
  <c r="AE16" i="15"/>
  <c r="AB16" i="15"/>
  <c r="Y16" i="15"/>
  <c r="V16" i="15"/>
  <c r="S16" i="15"/>
  <c r="P16" i="15"/>
  <c r="M16" i="15"/>
  <c r="J16" i="15"/>
  <c r="G16" i="15"/>
  <c r="D16" i="15"/>
  <c r="AQ15" i="15"/>
  <c r="AN15" i="15"/>
  <c r="AK15" i="15"/>
  <c r="AH15" i="15"/>
  <c r="AE15" i="15"/>
  <c r="AB15" i="15"/>
  <c r="Y15" i="15"/>
  <c r="V15" i="15"/>
  <c r="S15" i="15"/>
  <c r="P15" i="15"/>
  <c r="M15" i="15"/>
  <c r="J15" i="15"/>
  <c r="G15" i="15"/>
  <c r="D15" i="15"/>
  <c r="AQ14" i="15"/>
  <c r="AN14" i="15"/>
  <c r="AK14" i="15"/>
  <c r="AH14" i="15"/>
  <c r="AE14" i="15"/>
  <c r="AB14" i="15"/>
  <c r="Y14" i="15"/>
  <c r="V14" i="15"/>
  <c r="S14" i="15"/>
  <c r="P14" i="15"/>
  <c r="M14" i="15"/>
  <c r="J14" i="15"/>
  <c r="G14" i="15"/>
  <c r="D14" i="15"/>
  <c r="AQ13" i="15"/>
  <c r="AN13" i="15"/>
  <c r="AK13" i="15"/>
  <c r="AH13" i="15"/>
  <c r="AE13" i="15"/>
  <c r="AB13" i="15"/>
  <c r="Y13" i="15"/>
  <c r="V13" i="15"/>
  <c r="S13" i="15"/>
  <c r="P13" i="15"/>
  <c r="M13" i="15"/>
  <c r="J13" i="15"/>
  <c r="G13" i="15"/>
  <c r="D13" i="15"/>
  <c r="AQ12" i="15"/>
  <c r="AN12" i="15"/>
  <c r="AK12" i="15"/>
  <c r="AH12" i="15"/>
  <c r="AE12" i="15"/>
  <c r="AB12" i="15"/>
  <c r="Y12" i="15"/>
  <c r="V12" i="15"/>
  <c r="S12" i="15"/>
  <c r="P12" i="15"/>
  <c r="M12" i="15"/>
  <c r="J12" i="15"/>
  <c r="G12" i="15"/>
  <c r="D12" i="15"/>
  <c r="AQ11" i="15"/>
  <c r="AN11" i="15"/>
  <c r="AK11" i="15"/>
  <c r="AH11" i="15"/>
  <c r="AE11" i="15"/>
  <c r="AB11" i="15"/>
  <c r="Y11" i="15"/>
  <c r="V11" i="15"/>
  <c r="S11" i="15"/>
  <c r="P11" i="15"/>
  <c r="M11" i="15"/>
  <c r="J11" i="15"/>
  <c r="G11" i="15"/>
  <c r="D11" i="15"/>
  <c r="AQ10" i="15"/>
  <c r="AN10" i="15"/>
  <c r="AK10" i="15"/>
  <c r="AH10" i="15"/>
  <c r="AE10" i="15"/>
  <c r="AB10" i="15"/>
  <c r="Y10" i="15"/>
  <c r="V10" i="15"/>
  <c r="S10" i="15"/>
  <c r="P10" i="15"/>
  <c r="M10" i="15"/>
  <c r="J10" i="15"/>
  <c r="G10" i="15"/>
  <c r="D10" i="15"/>
  <c r="AQ9" i="15"/>
  <c r="AN9" i="15"/>
  <c r="AK9" i="15"/>
  <c r="AH9" i="15"/>
  <c r="AE9" i="15"/>
  <c r="AB9" i="15"/>
  <c r="Y9" i="15"/>
  <c r="V9" i="15"/>
  <c r="S9" i="15"/>
  <c r="P9" i="15"/>
  <c r="M9" i="15"/>
  <c r="J9" i="15"/>
  <c r="G9" i="15"/>
  <c r="D9" i="15"/>
  <c r="AQ8" i="15"/>
  <c r="AN8" i="15"/>
  <c r="AK8" i="15"/>
  <c r="AH8" i="15"/>
  <c r="AE8" i="15"/>
  <c r="AB8" i="15"/>
  <c r="Y8" i="15"/>
  <c r="V8" i="15"/>
  <c r="S8" i="15"/>
  <c r="P8" i="15"/>
  <c r="M8" i="15"/>
  <c r="J8" i="15"/>
  <c r="G8" i="15"/>
  <c r="D8" i="15"/>
  <c r="AQ7" i="15"/>
  <c r="AN7" i="15"/>
  <c r="AK7" i="15"/>
  <c r="AH7" i="15"/>
  <c r="AE7" i="15"/>
  <c r="AB7" i="15"/>
  <c r="Y7" i="15"/>
  <c r="V7" i="15"/>
  <c r="S7" i="15"/>
  <c r="P7" i="15"/>
  <c r="M7" i="15"/>
  <c r="J7" i="15"/>
  <c r="G7" i="15"/>
  <c r="D7" i="15"/>
  <c r="AQ6" i="15"/>
  <c r="AN6" i="15"/>
  <c r="AK6" i="15"/>
  <c r="AH6" i="15"/>
  <c r="AE6" i="15"/>
  <c r="AB6" i="15"/>
  <c r="Y6" i="15"/>
  <c r="V6" i="15"/>
  <c r="S6" i="15"/>
  <c r="P6" i="15"/>
  <c r="M6" i="15"/>
  <c r="J6" i="15"/>
  <c r="G6" i="15"/>
  <c r="D6" i="15"/>
  <c r="AQ5" i="15"/>
  <c r="AN5" i="15"/>
  <c r="AK5" i="15"/>
  <c r="AH5" i="15"/>
  <c r="AE5" i="15"/>
  <c r="AB5" i="15"/>
  <c r="Y5" i="15"/>
  <c r="V5" i="15"/>
  <c r="S5" i="15"/>
  <c r="P5" i="15"/>
  <c r="M5" i="15"/>
  <c r="J5" i="15"/>
  <c r="G5" i="15"/>
  <c r="D5" i="15"/>
  <c r="AQ4" i="15"/>
  <c r="AN4" i="15"/>
  <c r="AK4" i="15"/>
  <c r="AH4" i="15"/>
  <c r="AE4" i="15"/>
  <c r="AB4" i="15"/>
  <c r="Y4" i="15"/>
  <c r="V4" i="15"/>
  <c r="S4" i="15"/>
  <c r="P4" i="15"/>
  <c r="M4" i="15"/>
  <c r="J4" i="15"/>
  <c r="G4" i="15"/>
  <c r="D4" i="15"/>
  <c r="AQ3" i="15"/>
  <c r="AN3" i="15"/>
  <c r="AK3" i="15"/>
  <c r="AH3" i="15"/>
  <c r="AE3" i="15"/>
  <c r="AB3" i="15"/>
  <c r="Y3" i="15"/>
  <c r="V3" i="15"/>
  <c r="S3" i="15"/>
  <c r="P3" i="15"/>
  <c r="M3" i="15"/>
  <c r="J3" i="15"/>
  <c r="G3" i="15"/>
  <c r="D3" i="15"/>
  <c r="AQ2" i="15"/>
  <c r="AN2" i="15"/>
  <c r="AK2" i="15"/>
  <c r="AH2" i="15"/>
  <c r="AE2" i="15"/>
  <c r="AB2" i="15"/>
  <c r="Y2" i="15"/>
  <c r="V2" i="15"/>
  <c r="S2" i="15"/>
  <c r="P2" i="15"/>
  <c r="M2" i="15"/>
  <c r="J2" i="15"/>
  <c r="G2" i="15"/>
  <c r="D2" i="15"/>
  <c r="N11" i="14"/>
  <c r="M11" i="14"/>
  <c r="K11" i="14"/>
  <c r="J11" i="14"/>
  <c r="H11" i="14"/>
  <c r="G11" i="14"/>
  <c r="E11" i="14"/>
  <c r="D11" i="14"/>
  <c r="B11" i="14"/>
  <c r="C11" i="14" s="1"/>
  <c r="N10" i="14"/>
  <c r="M10" i="14"/>
  <c r="K10" i="14"/>
  <c r="J10" i="14"/>
  <c r="H10" i="14"/>
  <c r="G10" i="14"/>
  <c r="E10" i="14"/>
  <c r="D10" i="14"/>
  <c r="B10" i="14"/>
  <c r="C10" i="14" s="1"/>
  <c r="N9" i="14"/>
  <c r="M9" i="14"/>
  <c r="K9" i="14"/>
  <c r="J9" i="14"/>
  <c r="H9" i="14"/>
  <c r="G9" i="14"/>
  <c r="E9" i="14"/>
  <c r="D9" i="14"/>
  <c r="B9" i="14"/>
  <c r="C9" i="14" s="1"/>
  <c r="N8" i="14"/>
  <c r="M8" i="14"/>
  <c r="K8" i="14"/>
  <c r="J8" i="14"/>
  <c r="H8" i="14"/>
  <c r="G8" i="14"/>
  <c r="E8" i="14"/>
  <c r="D8" i="14"/>
  <c r="B8" i="14"/>
  <c r="C8" i="14" s="1"/>
  <c r="N7" i="14"/>
  <c r="M7" i="14"/>
  <c r="K7" i="14"/>
  <c r="J7" i="14"/>
  <c r="H7" i="14"/>
  <c r="G7" i="14"/>
  <c r="E7" i="14"/>
  <c r="D7" i="14"/>
  <c r="B7" i="14"/>
  <c r="C7" i="14" s="1"/>
  <c r="N6" i="14"/>
  <c r="M6" i="14"/>
  <c r="K6" i="14"/>
  <c r="J6" i="14"/>
  <c r="H6" i="14"/>
  <c r="G6" i="14"/>
  <c r="E6" i="14"/>
  <c r="D6" i="14"/>
  <c r="B6" i="14"/>
  <c r="C6" i="14" s="1"/>
  <c r="P134" i="5"/>
  <c r="P135" i="5" s="1"/>
  <c r="O134" i="5"/>
  <c r="O135" i="5" s="1"/>
  <c r="N134" i="5"/>
  <c r="N135" i="5" s="1"/>
  <c r="M134" i="5"/>
  <c r="M135" i="5" s="1"/>
  <c r="L134" i="5"/>
  <c r="L135" i="5" s="1"/>
  <c r="K134" i="5"/>
  <c r="K135" i="5" s="1"/>
  <c r="J134" i="5"/>
  <c r="J135" i="5" s="1"/>
  <c r="J136" i="5" s="1"/>
  <c r="I134" i="5"/>
  <c r="I135" i="5" s="1"/>
  <c r="I136" i="5" s="1"/>
  <c r="H134" i="5"/>
  <c r="H135" i="5" s="1"/>
  <c r="H136" i="5" s="1"/>
  <c r="G134" i="5"/>
  <c r="G135" i="5" s="1"/>
  <c r="G136" i="5" s="1"/>
  <c r="F134" i="5"/>
  <c r="F135" i="5" s="1"/>
  <c r="E134" i="5"/>
  <c r="E135" i="5" s="1"/>
  <c r="D134" i="5"/>
  <c r="D135" i="5" s="1"/>
  <c r="C134" i="5"/>
  <c r="C135" i="5" s="1"/>
  <c r="C136" i="5" s="1"/>
  <c r="P133" i="5"/>
  <c r="O133" i="5"/>
  <c r="N133" i="5"/>
  <c r="M133" i="5"/>
  <c r="L133" i="5"/>
  <c r="K133" i="5"/>
  <c r="J133" i="5"/>
  <c r="I133" i="5"/>
  <c r="H133" i="5"/>
  <c r="G133" i="5"/>
  <c r="F133" i="5"/>
  <c r="E133" i="5"/>
  <c r="D133" i="5"/>
  <c r="C133" i="5"/>
  <c r="P132" i="5"/>
  <c r="O132" i="5"/>
  <c r="N132" i="5"/>
  <c r="M132" i="5"/>
  <c r="L132" i="5"/>
  <c r="K132" i="5"/>
  <c r="J132" i="5"/>
  <c r="I132" i="5"/>
  <c r="H132" i="5"/>
  <c r="G132" i="5"/>
  <c r="F132" i="5"/>
  <c r="E132" i="5"/>
  <c r="D132" i="5"/>
  <c r="C132" i="5"/>
  <c r="P116" i="5"/>
  <c r="P117" i="5" s="1"/>
  <c r="P118" i="5" s="1"/>
  <c r="O116" i="5"/>
  <c r="O117" i="5" s="1"/>
  <c r="O118" i="5" s="1"/>
  <c r="N116" i="5"/>
  <c r="N117" i="5" s="1"/>
  <c r="N118" i="5" s="1"/>
  <c r="M116" i="5"/>
  <c r="M117" i="5" s="1"/>
  <c r="M118" i="5" s="1"/>
  <c r="L116" i="5"/>
  <c r="L117" i="5" s="1"/>
  <c r="L118" i="5" s="1"/>
  <c r="K116" i="5"/>
  <c r="K117" i="5" s="1"/>
  <c r="K118" i="5" s="1"/>
  <c r="J116" i="5"/>
  <c r="J117" i="5" s="1"/>
  <c r="J118" i="5" s="1"/>
  <c r="I116" i="5"/>
  <c r="I117" i="5" s="1"/>
  <c r="H116" i="5"/>
  <c r="H117" i="5" s="1"/>
  <c r="G116" i="5"/>
  <c r="G117" i="5" s="1"/>
  <c r="F116" i="5"/>
  <c r="F117" i="5" s="1"/>
  <c r="E116" i="5"/>
  <c r="E117" i="5" s="1"/>
  <c r="D116" i="5"/>
  <c r="D117" i="5" s="1"/>
  <c r="C116" i="5"/>
  <c r="C117" i="5" s="1"/>
  <c r="C118" i="5" s="1"/>
  <c r="P115" i="5"/>
  <c r="O115" i="5"/>
  <c r="N115" i="5"/>
  <c r="M115" i="5"/>
  <c r="L115" i="5"/>
  <c r="K115" i="5"/>
  <c r="J115" i="5"/>
  <c r="I115" i="5"/>
  <c r="H115" i="5"/>
  <c r="G115" i="5"/>
  <c r="F115" i="5"/>
  <c r="E115" i="5"/>
  <c r="D115" i="5"/>
  <c r="C115" i="5"/>
  <c r="P114" i="5"/>
  <c r="O114" i="5"/>
  <c r="N114" i="5"/>
  <c r="M114" i="5"/>
  <c r="L114" i="5"/>
  <c r="K114" i="5"/>
  <c r="J114" i="5"/>
  <c r="I114" i="5"/>
  <c r="H114" i="5"/>
  <c r="G114" i="5"/>
  <c r="F114" i="5"/>
  <c r="E114" i="5"/>
  <c r="D114" i="5"/>
  <c r="C114" i="5"/>
  <c r="P105" i="5"/>
  <c r="P106" i="5" s="1"/>
  <c r="O105" i="5"/>
  <c r="O106" i="5" s="1"/>
  <c r="N105" i="5"/>
  <c r="N106" i="5" s="1"/>
  <c r="M105" i="5"/>
  <c r="M106" i="5" s="1"/>
  <c r="L105" i="5"/>
  <c r="L106" i="5" s="1"/>
  <c r="K105" i="5"/>
  <c r="K106" i="5" s="1"/>
  <c r="J105" i="5"/>
  <c r="J106" i="5" s="1"/>
  <c r="I105" i="5"/>
  <c r="I106" i="5" s="1"/>
  <c r="H105" i="5"/>
  <c r="H106" i="5" s="1"/>
  <c r="G105" i="5"/>
  <c r="G106" i="5" s="1"/>
  <c r="F105" i="5"/>
  <c r="F106" i="5" s="1"/>
  <c r="E105" i="5"/>
  <c r="E106" i="5" s="1"/>
  <c r="D105" i="5"/>
  <c r="D106" i="5" s="1"/>
  <c r="C105" i="5"/>
  <c r="C106" i="5" s="1"/>
  <c r="P104" i="5"/>
  <c r="O104" i="5"/>
  <c r="N104" i="5"/>
  <c r="M104" i="5"/>
  <c r="L104" i="5"/>
  <c r="K104" i="5"/>
  <c r="J104" i="5"/>
  <c r="I104" i="5"/>
  <c r="H104" i="5"/>
  <c r="G104" i="5"/>
  <c r="F104" i="5"/>
  <c r="E104" i="5"/>
  <c r="D104" i="5"/>
  <c r="C104" i="5"/>
  <c r="P103" i="5"/>
  <c r="O103" i="5"/>
  <c r="N103" i="5"/>
  <c r="M103" i="5"/>
  <c r="L103" i="5"/>
  <c r="K103" i="5"/>
  <c r="J103" i="5"/>
  <c r="I103" i="5"/>
  <c r="H103" i="5"/>
  <c r="G103" i="5"/>
  <c r="F103" i="5"/>
  <c r="E103" i="5"/>
  <c r="D103" i="5"/>
  <c r="C103" i="5"/>
  <c r="P87" i="5"/>
  <c r="P88" i="5" s="1"/>
  <c r="O87" i="5"/>
  <c r="O88" i="5" s="1"/>
  <c r="N87" i="5"/>
  <c r="N88" i="5" s="1"/>
  <c r="M87" i="5"/>
  <c r="M88" i="5" s="1"/>
  <c r="L87" i="5"/>
  <c r="L88" i="5" s="1"/>
  <c r="K87" i="5"/>
  <c r="K88" i="5" s="1"/>
  <c r="J87" i="5"/>
  <c r="J88" i="5" s="1"/>
  <c r="I87" i="5"/>
  <c r="I88" i="5" s="1"/>
  <c r="H87" i="5"/>
  <c r="H88" i="5" s="1"/>
  <c r="G87" i="5"/>
  <c r="G88" i="5" s="1"/>
  <c r="F87" i="5"/>
  <c r="F88" i="5" s="1"/>
  <c r="E87" i="5"/>
  <c r="E88" i="5" s="1"/>
  <c r="D87" i="5"/>
  <c r="D88" i="5" s="1"/>
  <c r="C87" i="5"/>
  <c r="C88" i="5" s="1"/>
  <c r="P86" i="5"/>
  <c r="O86" i="5"/>
  <c r="N86" i="5"/>
  <c r="M86" i="5"/>
  <c r="L86" i="5"/>
  <c r="K86" i="5"/>
  <c r="J86" i="5"/>
  <c r="I86" i="5"/>
  <c r="H86" i="5"/>
  <c r="G86" i="5"/>
  <c r="F86" i="5"/>
  <c r="E86" i="5"/>
  <c r="D86" i="5"/>
  <c r="C86" i="5"/>
  <c r="P85" i="5"/>
  <c r="O85" i="5"/>
  <c r="N85" i="5"/>
  <c r="M85" i="5"/>
  <c r="L85" i="5"/>
  <c r="K85" i="5"/>
  <c r="J85" i="5"/>
  <c r="I85" i="5"/>
  <c r="H85" i="5"/>
  <c r="G85" i="5"/>
  <c r="F85" i="5"/>
  <c r="E85" i="5"/>
  <c r="D85" i="5"/>
  <c r="C85" i="5"/>
  <c r="P69" i="5"/>
  <c r="P70" i="5" s="1"/>
  <c r="O69" i="5"/>
  <c r="O70" i="5" s="1"/>
  <c r="N69" i="5"/>
  <c r="N70" i="5" s="1"/>
  <c r="M69" i="5"/>
  <c r="M70" i="5" s="1"/>
  <c r="L69" i="5"/>
  <c r="L70" i="5" s="1"/>
  <c r="K69" i="5"/>
  <c r="K70" i="5" s="1"/>
  <c r="J69" i="5"/>
  <c r="J70" i="5" s="1"/>
  <c r="I69" i="5"/>
  <c r="I70" i="5" s="1"/>
  <c r="H69" i="5"/>
  <c r="H70" i="5" s="1"/>
  <c r="H71" i="5" s="1"/>
  <c r="G69" i="5"/>
  <c r="G70" i="5" s="1"/>
  <c r="G71" i="5" s="1"/>
  <c r="F69" i="5"/>
  <c r="F70" i="5" s="1"/>
  <c r="F71" i="5" s="1"/>
  <c r="E69" i="5"/>
  <c r="E70" i="5" s="1"/>
  <c r="E71" i="5" s="1"/>
  <c r="D69" i="5"/>
  <c r="D70" i="5" s="1"/>
  <c r="D71" i="5" s="1"/>
  <c r="C69" i="5"/>
  <c r="C70" i="5" s="1"/>
  <c r="C71" i="5" s="1"/>
  <c r="P68" i="5"/>
  <c r="O68" i="5"/>
  <c r="N68" i="5"/>
  <c r="M68" i="5"/>
  <c r="L68" i="5"/>
  <c r="K68" i="5"/>
  <c r="J68" i="5"/>
  <c r="I68" i="5"/>
  <c r="H68" i="5"/>
  <c r="G68" i="5"/>
  <c r="F68" i="5"/>
  <c r="E68" i="5"/>
  <c r="D68" i="5"/>
  <c r="C68" i="5"/>
  <c r="P67" i="5"/>
  <c r="O67" i="5"/>
  <c r="N67" i="5"/>
  <c r="M67" i="5"/>
  <c r="L67" i="5"/>
  <c r="K67" i="5"/>
  <c r="J67" i="5"/>
  <c r="I67" i="5"/>
  <c r="H67" i="5"/>
  <c r="G67" i="5"/>
  <c r="F67" i="5"/>
  <c r="E67" i="5"/>
  <c r="D67" i="5"/>
  <c r="C67" i="5"/>
  <c r="P51" i="5"/>
  <c r="P52" i="5" s="1"/>
  <c r="O51" i="5"/>
  <c r="O52" i="5" s="1"/>
  <c r="N51" i="5"/>
  <c r="N52" i="5" s="1"/>
  <c r="M51" i="5"/>
  <c r="M52" i="5" s="1"/>
  <c r="L51" i="5"/>
  <c r="L52" i="5" s="1"/>
  <c r="K51" i="5"/>
  <c r="K52" i="5" s="1"/>
  <c r="J51" i="5"/>
  <c r="J52" i="5" s="1"/>
  <c r="I51" i="5"/>
  <c r="I52" i="5" s="1"/>
  <c r="H51" i="5"/>
  <c r="H52" i="5" s="1"/>
  <c r="H53" i="5" s="1"/>
  <c r="G51" i="5"/>
  <c r="G52" i="5" s="1"/>
  <c r="G53" i="5" s="1"/>
  <c r="F51" i="5"/>
  <c r="F52" i="5" s="1"/>
  <c r="F53" i="5" s="1"/>
  <c r="E51" i="5"/>
  <c r="E52" i="5" s="1"/>
  <c r="E53" i="5" s="1"/>
  <c r="D51" i="5"/>
  <c r="D52" i="5" s="1"/>
  <c r="D53" i="5" s="1"/>
  <c r="C51" i="5"/>
  <c r="C52" i="5" s="1"/>
  <c r="C53" i="5" s="1"/>
  <c r="P50" i="5"/>
  <c r="O50" i="5"/>
  <c r="N50" i="5"/>
  <c r="M50" i="5"/>
  <c r="L50" i="5"/>
  <c r="K50" i="5"/>
  <c r="J50" i="5"/>
  <c r="I50" i="5"/>
  <c r="H50" i="5"/>
  <c r="G50" i="5"/>
  <c r="F50" i="5"/>
  <c r="E50" i="5"/>
  <c r="D50" i="5"/>
  <c r="C50" i="5"/>
  <c r="P49" i="5"/>
  <c r="O49" i="5"/>
  <c r="N49" i="5"/>
  <c r="M49" i="5"/>
  <c r="L49" i="5"/>
  <c r="K49" i="5"/>
  <c r="J49" i="5"/>
  <c r="I49" i="5"/>
  <c r="H49" i="5"/>
  <c r="G49" i="5"/>
  <c r="F49" i="5"/>
  <c r="E49" i="5"/>
  <c r="D49" i="5"/>
  <c r="C49" i="5"/>
  <c r="P33" i="5"/>
  <c r="P34" i="5" s="1"/>
  <c r="O33" i="5"/>
  <c r="O34" i="5" s="1"/>
  <c r="N33" i="5"/>
  <c r="N34" i="5" s="1"/>
  <c r="M33" i="5"/>
  <c r="M34" i="5" s="1"/>
  <c r="L33" i="5"/>
  <c r="L34" i="5" s="1"/>
  <c r="K33" i="5"/>
  <c r="K34" i="5" s="1"/>
  <c r="J33" i="5"/>
  <c r="J34" i="5" s="1"/>
  <c r="I33" i="5"/>
  <c r="I34" i="5" s="1"/>
  <c r="H33" i="5"/>
  <c r="H34" i="5" s="1"/>
  <c r="H35" i="5" s="1"/>
  <c r="G33" i="5"/>
  <c r="G34" i="5" s="1"/>
  <c r="G35" i="5" s="1"/>
  <c r="F33" i="5"/>
  <c r="F34" i="5" s="1"/>
  <c r="F35" i="5" s="1"/>
  <c r="E33" i="5"/>
  <c r="E34" i="5" s="1"/>
  <c r="E35" i="5" s="1"/>
  <c r="D33" i="5"/>
  <c r="D34" i="5" s="1"/>
  <c r="D35" i="5" s="1"/>
  <c r="C33" i="5"/>
  <c r="C34" i="5" s="1"/>
  <c r="C35" i="5" s="1"/>
  <c r="P32" i="5"/>
  <c r="O32" i="5"/>
  <c r="N32" i="5"/>
  <c r="M32" i="5"/>
  <c r="L32" i="5"/>
  <c r="K32" i="5"/>
  <c r="J32" i="5"/>
  <c r="I32" i="5"/>
  <c r="H32" i="5"/>
  <c r="G32" i="5"/>
  <c r="F32" i="5"/>
  <c r="E32" i="5"/>
  <c r="D32" i="5"/>
  <c r="C32" i="5"/>
  <c r="P31" i="5"/>
  <c r="O31" i="5"/>
  <c r="N31" i="5"/>
  <c r="M31" i="5"/>
  <c r="L31" i="5"/>
  <c r="K31" i="5"/>
  <c r="J31" i="5"/>
  <c r="I31" i="5"/>
  <c r="H31" i="5"/>
  <c r="G31" i="5"/>
  <c r="F31" i="5"/>
  <c r="E31" i="5"/>
  <c r="D31" i="5"/>
  <c r="C31" i="5"/>
  <c r="H16" i="5"/>
  <c r="G16" i="5"/>
  <c r="F16" i="5"/>
  <c r="I16" i="5" s="1"/>
  <c r="E16" i="5"/>
  <c r="D16" i="5"/>
  <c r="J16" i="5" s="1"/>
  <c r="K16" i="5" s="1"/>
  <c r="L16" i="5" s="1"/>
  <c r="C16" i="5"/>
  <c r="H15" i="5"/>
  <c r="G15" i="5"/>
  <c r="F15" i="5"/>
  <c r="E15" i="5"/>
  <c r="D15" i="5"/>
  <c r="J15" i="5" s="1"/>
  <c r="K15" i="5" s="1"/>
  <c r="L15" i="5" s="1"/>
  <c r="C15" i="5"/>
  <c r="H14" i="5"/>
  <c r="G14" i="5"/>
  <c r="F14" i="5"/>
  <c r="I14" i="5" s="1"/>
  <c r="E14" i="5"/>
  <c r="D14" i="5"/>
  <c r="J14" i="5" s="1"/>
  <c r="K14" i="5" s="1"/>
  <c r="L14" i="5" s="1"/>
  <c r="C14" i="5"/>
  <c r="H13" i="5"/>
  <c r="G13" i="5"/>
  <c r="F13" i="5"/>
  <c r="E13" i="5"/>
  <c r="D13" i="5"/>
  <c r="J13" i="5" s="1"/>
  <c r="K13" i="5" s="1"/>
  <c r="L13" i="5" s="1"/>
  <c r="C13" i="5"/>
  <c r="H12" i="5"/>
  <c r="G12" i="5"/>
  <c r="F12" i="5"/>
  <c r="E12" i="5"/>
  <c r="D12" i="5"/>
  <c r="J12" i="5" s="1"/>
  <c r="K12" i="5" s="1"/>
  <c r="L12" i="5" s="1"/>
  <c r="C12" i="5"/>
  <c r="H11" i="5"/>
  <c r="G11" i="5"/>
  <c r="F11" i="5"/>
  <c r="E11" i="5"/>
  <c r="D11" i="5"/>
  <c r="J11" i="5" s="1"/>
  <c r="K11" i="5" s="1"/>
  <c r="L11" i="5" s="1"/>
  <c r="C11" i="5"/>
  <c r="H10" i="5"/>
  <c r="G10" i="5"/>
  <c r="F10" i="5"/>
  <c r="E10" i="5"/>
  <c r="D10" i="5"/>
  <c r="J10" i="5" s="1"/>
  <c r="K10" i="5" s="1"/>
  <c r="L10" i="5" s="1"/>
  <c r="C10" i="5"/>
  <c r="H9" i="5"/>
  <c r="G9" i="5"/>
  <c r="F9" i="5"/>
  <c r="E9" i="5"/>
  <c r="D9" i="5"/>
  <c r="J9" i="5" s="1"/>
  <c r="K9" i="5" s="1"/>
  <c r="L9" i="5" s="1"/>
  <c r="C9" i="5"/>
  <c r="H8" i="5"/>
  <c r="G8" i="5"/>
  <c r="F8" i="5"/>
  <c r="E8" i="5"/>
  <c r="D8" i="5"/>
  <c r="J8" i="5" s="1"/>
  <c r="K8" i="5" s="1"/>
  <c r="L8" i="5" s="1"/>
  <c r="C8" i="5"/>
  <c r="H7" i="5"/>
  <c r="G7" i="5"/>
  <c r="F7" i="5"/>
  <c r="E7" i="5"/>
  <c r="D7" i="5"/>
  <c r="J7" i="5" s="1"/>
  <c r="K7" i="5" s="1"/>
  <c r="L7" i="5" s="1"/>
  <c r="C7" i="5"/>
  <c r="O12" i="4"/>
  <c r="I12" i="4"/>
  <c r="P12" i="4" s="1"/>
  <c r="H12" i="4"/>
  <c r="G12" i="4"/>
  <c r="E12" i="4"/>
  <c r="D12" i="4"/>
  <c r="F12" i="4" s="1"/>
  <c r="C12" i="4"/>
  <c r="O11" i="4"/>
  <c r="I11" i="4"/>
  <c r="P11" i="4" s="1"/>
  <c r="H11" i="4"/>
  <c r="J11" i="4" s="1"/>
  <c r="G11" i="4"/>
  <c r="E11" i="4"/>
  <c r="D11" i="4"/>
  <c r="F11" i="4" s="1"/>
  <c r="C11" i="4"/>
  <c r="O10" i="4"/>
  <c r="I10" i="4"/>
  <c r="P10" i="4" s="1"/>
  <c r="H10" i="4"/>
  <c r="J10" i="4" s="1"/>
  <c r="G10" i="4"/>
  <c r="E10" i="4"/>
  <c r="D10" i="4"/>
  <c r="F10" i="4" s="1"/>
  <c r="C10" i="4"/>
  <c r="O9" i="4"/>
  <c r="I9" i="4"/>
  <c r="P9" i="4" s="1"/>
  <c r="H9" i="4"/>
  <c r="J9" i="4" s="1"/>
  <c r="G9" i="4"/>
  <c r="E9" i="4"/>
  <c r="D9" i="4"/>
  <c r="F9" i="4" s="1"/>
  <c r="C9" i="4"/>
  <c r="O8" i="4"/>
  <c r="I8" i="4"/>
  <c r="P8" i="4" s="1"/>
  <c r="H8" i="4"/>
  <c r="J8" i="4" s="1"/>
  <c r="G8" i="4"/>
  <c r="E8" i="4"/>
  <c r="D8" i="4"/>
  <c r="F8" i="4" s="1"/>
  <c r="C8" i="4"/>
  <c r="O7" i="4"/>
  <c r="I7" i="4"/>
  <c r="P7" i="4" s="1"/>
  <c r="H7" i="4"/>
  <c r="J7" i="4" s="1"/>
  <c r="G7" i="4"/>
  <c r="E7" i="4"/>
  <c r="D7" i="4"/>
  <c r="F7" i="4" s="1"/>
  <c r="C7" i="4"/>
  <c r="O6" i="4"/>
  <c r="I6" i="4"/>
  <c r="P6" i="4" s="1"/>
  <c r="H6" i="4"/>
  <c r="J6" i="4" s="1"/>
  <c r="G6" i="4"/>
  <c r="E6" i="4"/>
  <c r="D6" i="4"/>
  <c r="F6" i="4" s="1"/>
  <c r="C6" i="4"/>
  <c r="O5" i="4"/>
  <c r="F101" i="3"/>
  <c r="G101" i="3" s="1"/>
  <c r="E101" i="3"/>
  <c r="C101" i="3"/>
  <c r="D101" i="3" s="1"/>
  <c r="B101" i="3"/>
  <c r="A101" i="3"/>
  <c r="F100" i="3"/>
  <c r="G100" i="3" s="1"/>
  <c r="E100" i="3"/>
  <c r="C100" i="3"/>
  <c r="D100" i="3" s="1"/>
  <c r="B100" i="3"/>
  <c r="A100" i="3"/>
  <c r="F99" i="3"/>
  <c r="G99" i="3" s="1"/>
  <c r="E99" i="3"/>
  <c r="C99" i="3"/>
  <c r="D99" i="3" s="1"/>
  <c r="B99" i="3"/>
  <c r="A99" i="3"/>
  <c r="F98" i="3"/>
  <c r="E98" i="3"/>
  <c r="C98" i="3"/>
  <c r="D98" i="3" s="1"/>
  <c r="B98" i="3"/>
  <c r="A98" i="3"/>
  <c r="F97" i="3"/>
  <c r="G97" i="3" s="1"/>
  <c r="E97" i="3"/>
  <c r="C97" i="3"/>
  <c r="D97" i="3" s="1"/>
  <c r="B97" i="3"/>
  <c r="A97" i="3"/>
  <c r="F96" i="3"/>
  <c r="G96" i="3" s="1"/>
  <c r="E96" i="3"/>
  <c r="C96" i="3"/>
  <c r="D96" i="3" s="1"/>
  <c r="B96" i="3"/>
  <c r="A96" i="3"/>
  <c r="F95" i="3"/>
  <c r="G95" i="3" s="1"/>
  <c r="E95" i="3"/>
  <c r="C95" i="3"/>
  <c r="D95" i="3" s="1"/>
  <c r="B95" i="3"/>
  <c r="A95" i="3"/>
  <c r="F94" i="3"/>
  <c r="G94" i="3" s="1"/>
  <c r="E94" i="3"/>
  <c r="C94" i="3"/>
  <c r="D94" i="3" s="1"/>
  <c r="B94" i="3"/>
  <c r="A94" i="3"/>
  <c r="F93" i="3"/>
  <c r="E93" i="3"/>
  <c r="C93" i="3"/>
  <c r="D93" i="3" s="1"/>
  <c r="B93" i="3"/>
  <c r="A93" i="3"/>
  <c r="F92" i="3"/>
  <c r="G92" i="3" s="1"/>
  <c r="E92" i="3"/>
  <c r="C92" i="3"/>
  <c r="D92" i="3" s="1"/>
  <c r="B92" i="3"/>
  <c r="A92" i="3"/>
  <c r="F91" i="3"/>
  <c r="G91" i="3" s="1"/>
  <c r="E91" i="3"/>
  <c r="C91" i="3"/>
  <c r="D91" i="3" s="1"/>
  <c r="B91" i="3"/>
  <c r="A91" i="3"/>
  <c r="F90" i="3"/>
  <c r="G90" i="3" s="1"/>
  <c r="E90" i="3"/>
  <c r="C90" i="3"/>
  <c r="D90" i="3" s="1"/>
  <c r="B90" i="3"/>
  <c r="A90" i="3"/>
  <c r="F89" i="3"/>
  <c r="G89" i="3" s="1"/>
  <c r="E89" i="3"/>
  <c r="C89" i="3"/>
  <c r="D89" i="3" s="1"/>
  <c r="B89" i="3"/>
  <c r="A89" i="3"/>
  <c r="F88" i="3"/>
  <c r="E88" i="3"/>
  <c r="C88" i="3"/>
  <c r="D88" i="3" s="1"/>
  <c r="B88" i="3"/>
  <c r="A88" i="3"/>
  <c r="F87" i="3"/>
  <c r="E87" i="3"/>
  <c r="C87" i="3"/>
  <c r="D87" i="3" s="1"/>
  <c r="B87" i="3"/>
  <c r="A87" i="3"/>
  <c r="F86" i="3"/>
  <c r="G86" i="3" s="1"/>
  <c r="E86" i="3"/>
  <c r="C86" i="3"/>
  <c r="B86" i="3"/>
  <c r="A86" i="3"/>
  <c r="F85" i="3"/>
  <c r="G85" i="3" s="1"/>
  <c r="E85" i="3"/>
  <c r="C85" i="3"/>
  <c r="B85" i="3"/>
  <c r="A85" i="3"/>
  <c r="F84" i="3"/>
  <c r="E84" i="3"/>
  <c r="C84" i="3"/>
  <c r="B84" i="3"/>
  <c r="A84" i="3"/>
  <c r="F83" i="3"/>
  <c r="E83" i="3"/>
  <c r="C83" i="3"/>
  <c r="B83" i="3"/>
  <c r="A83" i="3"/>
  <c r="F82" i="3"/>
  <c r="E82" i="3"/>
  <c r="C82" i="3"/>
  <c r="B82" i="3"/>
  <c r="A82" i="3"/>
  <c r="F81" i="3"/>
  <c r="E81" i="3"/>
  <c r="C81" i="3"/>
  <c r="B81" i="3"/>
  <c r="A81" i="3"/>
  <c r="F80" i="3"/>
  <c r="E80" i="3"/>
  <c r="C80" i="3"/>
  <c r="B80" i="3"/>
  <c r="A80" i="3"/>
  <c r="F79" i="3"/>
  <c r="E79" i="3"/>
  <c r="C79" i="3"/>
  <c r="B79" i="3"/>
  <c r="A79" i="3"/>
  <c r="F78" i="3"/>
  <c r="E78" i="3"/>
  <c r="C78" i="3"/>
  <c r="B78" i="3"/>
  <c r="A78" i="3"/>
  <c r="F77" i="3"/>
  <c r="E77" i="3"/>
  <c r="C77" i="3"/>
  <c r="B77" i="3"/>
  <c r="A77" i="3"/>
  <c r="F76" i="3"/>
  <c r="E76" i="3"/>
  <c r="C76" i="3"/>
  <c r="D76" i="3" s="1"/>
  <c r="B76" i="3"/>
  <c r="A76" i="3"/>
  <c r="F75" i="3"/>
  <c r="E75" i="3"/>
  <c r="C75" i="3"/>
  <c r="B75" i="3"/>
  <c r="A75" i="3"/>
  <c r="F74" i="3"/>
  <c r="E74" i="3"/>
  <c r="C74" i="3"/>
  <c r="B74" i="3"/>
  <c r="A74" i="3"/>
  <c r="F73" i="3"/>
  <c r="E73" i="3"/>
  <c r="C73" i="3"/>
  <c r="B73" i="3"/>
  <c r="A73" i="3"/>
  <c r="F72" i="3"/>
  <c r="E72" i="3"/>
  <c r="C72" i="3"/>
  <c r="B72" i="3"/>
  <c r="A72" i="3"/>
  <c r="F71" i="3"/>
  <c r="E71" i="3"/>
  <c r="C71" i="3"/>
  <c r="B71" i="3"/>
  <c r="A71" i="3"/>
  <c r="F70" i="3"/>
  <c r="E70" i="3"/>
  <c r="C70" i="3"/>
  <c r="B70" i="3"/>
  <c r="A70" i="3"/>
  <c r="F69" i="3"/>
  <c r="E69" i="3"/>
  <c r="C69" i="3"/>
  <c r="B69" i="3"/>
  <c r="A69" i="3"/>
  <c r="F68" i="3"/>
  <c r="E68" i="3"/>
  <c r="C68" i="3"/>
  <c r="B68" i="3"/>
  <c r="A68" i="3"/>
  <c r="F67" i="3"/>
  <c r="E67" i="3"/>
  <c r="C67" i="3"/>
  <c r="B67" i="3"/>
  <c r="A67" i="3"/>
  <c r="F66" i="3"/>
  <c r="E66" i="3"/>
  <c r="C66" i="3"/>
  <c r="B66" i="3"/>
  <c r="A66" i="3"/>
  <c r="F65" i="3"/>
  <c r="E65" i="3"/>
  <c r="C65" i="3"/>
  <c r="B65" i="3"/>
  <c r="A65" i="3"/>
  <c r="F64" i="3"/>
  <c r="E64" i="3"/>
  <c r="C64" i="3"/>
  <c r="B64" i="3"/>
  <c r="A64" i="3"/>
  <c r="F63" i="3"/>
  <c r="E63" i="3"/>
  <c r="C63" i="3"/>
  <c r="B63" i="3"/>
  <c r="A63" i="3"/>
  <c r="F62" i="3"/>
  <c r="E62" i="3"/>
  <c r="C62" i="3"/>
  <c r="B62" i="3"/>
  <c r="A62" i="3"/>
  <c r="F61" i="3"/>
  <c r="E61" i="3"/>
  <c r="C61" i="3"/>
  <c r="B61" i="3"/>
  <c r="A61" i="3"/>
  <c r="F60" i="3"/>
  <c r="E60" i="3"/>
  <c r="C60" i="3"/>
  <c r="B60" i="3"/>
  <c r="A60" i="3"/>
  <c r="F59" i="3"/>
  <c r="E59" i="3"/>
  <c r="C59" i="3"/>
  <c r="B59" i="3"/>
  <c r="A59" i="3"/>
  <c r="F58" i="3"/>
  <c r="E58" i="3"/>
  <c r="C58" i="3"/>
  <c r="B58" i="3"/>
  <c r="A58" i="3"/>
  <c r="F57" i="3"/>
  <c r="E57" i="3"/>
  <c r="C57" i="3"/>
  <c r="B57" i="3"/>
  <c r="A57" i="3"/>
  <c r="F56" i="3"/>
  <c r="E56" i="3"/>
  <c r="C56" i="3"/>
  <c r="B56" i="3"/>
  <c r="A56" i="3"/>
  <c r="F55" i="3"/>
  <c r="E55" i="3"/>
  <c r="C55" i="3"/>
  <c r="B55" i="3"/>
  <c r="A55" i="3"/>
  <c r="F54" i="3"/>
  <c r="E54" i="3"/>
  <c r="C54" i="3"/>
  <c r="B54" i="3"/>
  <c r="A54" i="3"/>
  <c r="F53" i="3"/>
  <c r="E53" i="3"/>
  <c r="C53" i="3"/>
  <c r="B53" i="3"/>
  <c r="A53" i="3"/>
  <c r="F52" i="3"/>
  <c r="E52" i="3"/>
  <c r="C52" i="3"/>
  <c r="B52" i="3"/>
  <c r="A52" i="3"/>
  <c r="F51" i="3"/>
  <c r="E51" i="3"/>
  <c r="C51" i="3"/>
  <c r="B51" i="3"/>
  <c r="A51" i="3"/>
  <c r="F50" i="3"/>
  <c r="E50" i="3"/>
  <c r="C50" i="3"/>
  <c r="B50" i="3"/>
  <c r="A50" i="3"/>
  <c r="F49" i="3"/>
  <c r="E49" i="3"/>
  <c r="C49" i="3"/>
  <c r="B49" i="3"/>
  <c r="A49" i="3"/>
  <c r="F48" i="3"/>
  <c r="E48" i="3"/>
  <c r="C48" i="3"/>
  <c r="B48" i="3"/>
  <c r="A48" i="3"/>
  <c r="F47" i="3"/>
  <c r="E47" i="3"/>
  <c r="C47" i="3"/>
  <c r="B47" i="3"/>
  <c r="A47" i="3"/>
  <c r="F46" i="3"/>
  <c r="E46" i="3"/>
  <c r="C46" i="3"/>
  <c r="B46" i="3"/>
  <c r="A46" i="3"/>
  <c r="F45" i="3"/>
  <c r="E45" i="3"/>
  <c r="C45" i="3"/>
  <c r="B45" i="3"/>
  <c r="A45" i="3"/>
  <c r="F44" i="3"/>
  <c r="E44" i="3"/>
  <c r="C44" i="3"/>
  <c r="B44" i="3"/>
  <c r="A44" i="3"/>
  <c r="F43" i="3"/>
  <c r="E43" i="3"/>
  <c r="C43" i="3"/>
  <c r="B43" i="3"/>
  <c r="A43" i="3"/>
  <c r="F42" i="3"/>
  <c r="E42" i="3"/>
  <c r="C42" i="3"/>
  <c r="B42" i="3"/>
  <c r="A42" i="3"/>
  <c r="F41" i="3"/>
  <c r="E41" i="3"/>
  <c r="C41" i="3"/>
  <c r="B41" i="3"/>
  <c r="A41" i="3"/>
  <c r="F40" i="3"/>
  <c r="E40" i="3"/>
  <c r="C40" i="3"/>
  <c r="B40" i="3"/>
  <c r="A40" i="3"/>
  <c r="F39" i="3"/>
  <c r="E39" i="3"/>
  <c r="C39" i="3"/>
  <c r="B39" i="3"/>
  <c r="A39" i="3"/>
  <c r="F38" i="3"/>
  <c r="E38" i="3"/>
  <c r="C38" i="3"/>
  <c r="B38" i="3"/>
  <c r="A38" i="3"/>
  <c r="F37" i="3"/>
  <c r="E37" i="3"/>
  <c r="C37" i="3"/>
  <c r="B37" i="3"/>
  <c r="A37" i="3"/>
  <c r="F36" i="3"/>
  <c r="E36" i="3"/>
  <c r="C36" i="3"/>
  <c r="B36" i="3"/>
  <c r="A36" i="3"/>
  <c r="F35" i="3"/>
  <c r="E35" i="3"/>
  <c r="C35" i="3"/>
  <c r="B35" i="3"/>
  <c r="A35" i="3"/>
  <c r="F34" i="3"/>
  <c r="E34" i="3"/>
  <c r="C34" i="3"/>
  <c r="B34" i="3"/>
  <c r="A34" i="3"/>
  <c r="F33" i="3"/>
  <c r="E33" i="3"/>
  <c r="C33" i="3"/>
  <c r="B33" i="3"/>
  <c r="A33" i="3"/>
  <c r="F32" i="3"/>
  <c r="E32" i="3"/>
  <c r="C32" i="3"/>
  <c r="B32" i="3"/>
  <c r="A32" i="3"/>
  <c r="F31" i="3"/>
  <c r="E31" i="3"/>
  <c r="C31" i="3"/>
  <c r="B31" i="3"/>
  <c r="A31" i="3"/>
  <c r="F30" i="3"/>
  <c r="E30" i="3"/>
  <c r="C30" i="3"/>
  <c r="B30" i="3"/>
  <c r="A30" i="3"/>
  <c r="F29" i="3"/>
  <c r="E29" i="3"/>
  <c r="C29" i="3"/>
  <c r="B29" i="3"/>
  <c r="A29" i="3"/>
  <c r="F28" i="3"/>
  <c r="E28" i="3"/>
  <c r="C28" i="3"/>
  <c r="B28" i="3"/>
  <c r="A28" i="3"/>
  <c r="F27" i="3"/>
  <c r="E27" i="3"/>
  <c r="C27" i="3"/>
  <c r="B27" i="3"/>
  <c r="A27" i="3"/>
  <c r="F26" i="3"/>
  <c r="E26" i="3"/>
  <c r="C26" i="3"/>
  <c r="B26" i="3"/>
  <c r="A26" i="3"/>
  <c r="F25" i="3"/>
  <c r="E25" i="3"/>
  <c r="C25" i="3"/>
  <c r="B25" i="3"/>
  <c r="A25" i="3"/>
  <c r="F24" i="3"/>
  <c r="E24" i="3"/>
  <c r="C24" i="3"/>
  <c r="B24" i="3"/>
  <c r="A24" i="3"/>
  <c r="F23" i="3"/>
  <c r="E23" i="3"/>
  <c r="C23" i="3"/>
  <c r="B23" i="3"/>
  <c r="A23" i="3"/>
  <c r="F22" i="3"/>
  <c r="E22" i="3"/>
  <c r="C22" i="3"/>
  <c r="B22" i="3"/>
  <c r="A22" i="3"/>
  <c r="F21" i="3"/>
  <c r="E21" i="3"/>
  <c r="C21" i="3"/>
  <c r="B21" i="3"/>
  <c r="A21" i="3"/>
  <c r="F20" i="3"/>
  <c r="E20" i="3"/>
  <c r="C20" i="3"/>
  <c r="B20" i="3"/>
  <c r="A20" i="3"/>
  <c r="F19" i="3"/>
  <c r="E19" i="3"/>
  <c r="C19" i="3"/>
  <c r="B19" i="3"/>
  <c r="A19" i="3"/>
  <c r="F18" i="3"/>
  <c r="E18" i="3"/>
  <c r="C18" i="3"/>
  <c r="B18" i="3"/>
  <c r="A18" i="3"/>
  <c r="F17" i="3"/>
  <c r="E17" i="3"/>
  <c r="C17" i="3"/>
  <c r="B17" i="3"/>
  <c r="A17" i="3"/>
  <c r="O16" i="3"/>
  <c r="N16" i="3"/>
  <c r="M16" i="3"/>
  <c r="L16" i="3"/>
  <c r="K16" i="3"/>
  <c r="J16" i="3"/>
  <c r="F16" i="3"/>
  <c r="E16" i="3"/>
  <c r="C16" i="3"/>
  <c r="B16" i="3"/>
  <c r="A16" i="3"/>
  <c r="O15" i="3"/>
  <c r="N15" i="3"/>
  <c r="M15" i="3"/>
  <c r="L15" i="3"/>
  <c r="K15" i="3"/>
  <c r="J15" i="3"/>
  <c r="F15" i="3"/>
  <c r="E15" i="3"/>
  <c r="C15" i="3"/>
  <c r="B15" i="3"/>
  <c r="A15" i="3"/>
  <c r="O14" i="3"/>
  <c r="N14" i="3"/>
  <c r="M14" i="3"/>
  <c r="L14" i="3"/>
  <c r="Q14" i="3" s="1"/>
  <c r="K14" i="3"/>
  <c r="J14" i="3"/>
  <c r="F14" i="3"/>
  <c r="E14" i="3"/>
  <c r="C14" i="3"/>
  <c r="B14" i="3"/>
  <c r="A14" i="3"/>
  <c r="O13" i="3"/>
  <c r="N13" i="3"/>
  <c r="M13" i="3"/>
  <c r="L13" i="3"/>
  <c r="Q13" i="3" s="1"/>
  <c r="K13" i="3"/>
  <c r="J13" i="3"/>
  <c r="F13" i="3"/>
  <c r="E13" i="3"/>
  <c r="C13" i="3"/>
  <c r="B13" i="3"/>
  <c r="A13" i="3"/>
  <c r="F12" i="3"/>
  <c r="E12" i="3"/>
  <c r="C12" i="3"/>
  <c r="B12" i="3"/>
  <c r="A12" i="3"/>
  <c r="F11" i="3"/>
  <c r="E11" i="3"/>
  <c r="C11" i="3"/>
  <c r="B11" i="3"/>
  <c r="A11" i="3"/>
  <c r="F10" i="3"/>
  <c r="E10" i="3"/>
  <c r="C10" i="3"/>
  <c r="B10" i="3"/>
  <c r="A10" i="3"/>
  <c r="F9" i="3"/>
  <c r="E9" i="3"/>
  <c r="C9" i="3"/>
  <c r="B9" i="3"/>
  <c r="A9" i="3"/>
  <c r="F8" i="3"/>
  <c r="E8" i="3"/>
  <c r="C8" i="3"/>
  <c r="B8" i="3"/>
  <c r="A8" i="3"/>
  <c r="F7" i="3"/>
  <c r="E7" i="3"/>
  <c r="C7" i="3"/>
  <c r="B7" i="3"/>
  <c r="A7" i="3"/>
  <c r="F6" i="3"/>
  <c r="E6" i="3"/>
  <c r="C6" i="3"/>
  <c r="B6" i="3"/>
  <c r="A6" i="3"/>
  <c r="F5" i="3"/>
  <c r="E5" i="3"/>
  <c r="C5" i="3"/>
  <c r="B5" i="3"/>
  <c r="A5" i="3"/>
  <c r="F4" i="3"/>
  <c r="E4" i="3"/>
  <c r="C4" i="3"/>
  <c r="B4" i="3"/>
  <c r="A4" i="3"/>
  <c r="F3" i="3"/>
  <c r="E3" i="3"/>
  <c r="C3" i="3"/>
  <c r="B3" i="3"/>
  <c r="A3" i="3"/>
  <c r="F2" i="3"/>
  <c r="E2" i="3"/>
  <c r="C2" i="3"/>
  <c r="B2" i="3"/>
  <c r="A2" i="3"/>
  <c r="E58" i="2"/>
  <c r="D58" i="2"/>
  <c r="C58" i="2"/>
  <c r="F57" i="2"/>
  <c r="F56" i="2"/>
  <c r="F55" i="2"/>
  <c r="F54" i="2"/>
  <c r="F53" i="2"/>
  <c r="E49" i="2"/>
  <c r="D49" i="2"/>
  <c r="C49" i="2"/>
  <c r="E48" i="2"/>
  <c r="D48" i="2"/>
  <c r="C48" i="2"/>
  <c r="J47" i="2"/>
  <c r="I47" i="2"/>
  <c r="F47" i="2"/>
  <c r="J46" i="2"/>
  <c r="I46" i="2"/>
  <c r="F46" i="2"/>
  <c r="J45" i="2"/>
  <c r="I45" i="2"/>
  <c r="F45" i="2"/>
  <c r="J44" i="2"/>
  <c r="M7" i="3" s="1"/>
  <c r="I44" i="2"/>
  <c r="J7" i="3" s="1"/>
  <c r="F44" i="2"/>
  <c r="J43" i="2"/>
  <c r="I43" i="2"/>
  <c r="F43" i="2"/>
  <c r="F42" i="2"/>
  <c r="E38" i="2"/>
  <c r="D38" i="2"/>
  <c r="F38" i="2" s="1"/>
  <c r="C38" i="2"/>
  <c r="E37" i="2"/>
  <c r="D37" i="2"/>
  <c r="F37" i="2" s="1"/>
  <c r="C37" i="2"/>
  <c r="E36" i="2"/>
  <c r="D36" i="2"/>
  <c r="F36" i="2" s="1"/>
  <c r="C36" i="2"/>
  <c r="E35" i="2"/>
  <c r="D35" i="2"/>
  <c r="F35" i="2" s="1"/>
  <c r="C35" i="2"/>
  <c r="E34" i="2"/>
  <c r="D34" i="2"/>
  <c r="F34" i="2" s="1"/>
  <c r="C34" i="2"/>
  <c r="E33" i="2"/>
  <c r="D33" i="2"/>
  <c r="F33" i="2" s="1"/>
  <c r="C33" i="2"/>
  <c r="E32" i="2"/>
  <c r="D32" i="2"/>
  <c r="C32" i="2"/>
  <c r="E31" i="2"/>
  <c r="D31" i="2"/>
  <c r="F31" i="2" s="1"/>
  <c r="C31" i="2"/>
  <c r="E27" i="2"/>
  <c r="D27" i="2"/>
  <c r="F27" i="2" s="1"/>
  <c r="C27" i="2"/>
  <c r="E26" i="2"/>
  <c r="D26" i="2"/>
  <c r="F26" i="2" s="1"/>
  <c r="C26" i="2"/>
  <c r="E25" i="2"/>
  <c r="D25" i="2"/>
  <c r="F25" i="2" s="1"/>
  <c r="C25" i="2"/>
  <c r="E24" i="2"/>
  <c r="D24" i="2"/>
  <c r="F24" i="2" s="1"/>
  <c r="C24" i="2"/>
  <c r="E23" i="2"/>
  <c r="D23" i="2"/>
  <c r="F23" i="2" s="1"/>
  <c r="C23" i="2"/>
  <c r="E22" i="2"/>
  <c r="D22" i="2"/>
  <c r="F22" i="2" s="1"/>
  <c r="C22" i="2"/>
  <c r="E21" i="2"/>
  <c r="D21" i="2"/>
  <c r="F21" i="2" s="1"/>
  <c r="C21" i="2"/>
  <c r="E20" i="2"/>
  <c r="D20" i="2"/>
  <c r="F20" i="2" s="1"/>
  <c r="C20" i="2"/>
  <c r="E16" i="2"/>
  <c r="D16" i="2"/>
  <c r="F16" i="2" s="1"/>
  <c r="C16" i="2"/>
  <c r="E15" i="2"/>
  <c r="D15" i="2"/>
  <c r="F15" i="2" s="1"/>
  <c r="C15" i="2"/>
  <c r="E14" i="2"/>
  <c r="D14" i="2"/>
  <c r="F14" i="2" s="1"/>
  <c r="C14" i="2"/>
  <c r="E13" i="2"/>
  <c r="D13" i="2"/>
  <c r="F13" i="2" s="1"/>
  <c r="C13" i="2"/>
  <c r="E12" i="2"/>
  <c r="D12" i="2"/>
  <c r="F12" i="2" s="1"/>
  <c r="C12" i="2"/>
  <c r="E11" i="2"/>
  <c r="D11" i="2"/>
  <c r="F11" i="2" s="1"/>
  <c r="C11" i="2"/>
  <c r="E10" i="2"/>
  <c r="D10" i="2"/>
  <c r="F10" i="2" s="1"/>
  <c r="C10" i="2"/>
  <c r="E9" i="2"/>
  <c r="D9" i="2"/>
  <c r="F9" i="2" s="1"/>
  <c r="C9" i="2"/>
  <c r="N136" i="5" l="1"/>
  <c r="H118" i="5"/>
  <c r="J107" i="5"/>
  <c r="I107" i="5"/>
  <c r="L89" i="5"/>
  <c r="I89" i="5"/>
  <c r="P53" i="5"/>
  <c r="O35" i="5"/>
  <c r="P136" i="5"/>
  <c r="F118" i="5"/>
  <c r="N107" i="5"/>
  <c r="H107" i="5"/>
  <c r="J89" i="5"/>
  <c r="G89" i="5"/>
  <c r="M53" i="5"/>
  <c r="K35" i="5"/>
  <c r="I9" i="5"/>
  <c r="O136" i="5"/>
  <c r="E118" i="5"/>
  <c r="O107" i="5"/>
  <c r="G107" i="5"/>
  <c r="O89" i="5"/>
  <c r="H89" i="5"/>
  <c r="K53" i="5"/>
  <c r="J35" i="5"/>
  <c r="I7" i="5"/>
  <c r="L136" i="5"/>
  <c r="G118" i="5"/>
  <c r="L107" i="5"/>
  <c r="E107" i="5"/>
  <c r="N89" i="5"/>
  <c r="F89" i="5"/>
  <c r="I53" i="5"/>
  <c r="P35" i="5"/>
  <c r="I11" i="5"/>
  <c r="I10" i="5"/>
  <c r="J12" i="4"/>
  <c r="K136" i="5"/>
  <c r="I118" i="5"/>
  <c r="M107" i="5"/>
  <c r="F107" i="5"/>
  <c r="K89" i="5"/>
  <c r="E89" i="5"/>
  <c r="N53" i="5"/>
  <c r="M35" i="5"/>
  <c r="I12" i="5"/>
  <c r="M136" i="5"/>
  <c r="P107" i="5"/>
  <c r="C107" i="5"/>
  <c r="P89" i="5"/>
  <c r="C89" i="5"/>
  <c r="J53" i="5"/>
  <c r="N35" i="5"/>
  <c r="I15" i="5"/>
  <c r="I13" i="5"/>
  <c r="G87" i="3"/>
  <c r="F136" i="5"/>
  <c r="E136" i="5"/>
  <c r="D136" i="5"/>
  <c r="D118" i="5"/>
  <c r="K107" i="5"/>
  <c r="D107" i="5"/>
  <c r="M89" i="5"/>
  <c r="D89" i="5"/>
  <c r="L53" i="5"/>
  <c r="I35" i="5"/>
  <c r="G98" i="3"/>
  <c r="P71" i="5"/>
  <c r="O71" i="5"/>
  <c r="N71" i="5"/>
  <c r="M71" i="5"/>
  <c r="L71" i="5"/>
  <c r="K71" i="5"/>
  <c r="J71" i="5"/>
  <c r="I71" i="5"/>
  <c r="O53" i="5"/>
  <c r="L35" i="5"/>
  <c r="I8" i="5"/>
  <c r="D85" i="3"/>
  <c r="G84" i="3"/>
  <c r="D84" i="3"/>
  <c r="G83" i="3"/>
  <c r="D83" i="3"/>
  <c r="G82" i="3"/>
  <c r="D82" i="3"/>
  <c r="G81" i="3"/>
  <c r="D81" i="3"/>
  <c r="G80" i="3"/>
  <c r="D80" i="3"/>
  <c r="G79" i="3"/>
  <c r="D79" i="3"/>
  <c r="G78" i="3"/>
  <c r="D78" i="3"/>
  <c r="G77" i="3"/>
  <c r="D77" i="3"/>
  <c r="G76" i="3"/>
  <c r="G75" i="3"/>
  <c r="D75" i="3"/>
  <c r="G74" i="3"/>
  <c r="D74" i="3"/>
  <c r="G73" i="3"/>
  <c r="D73" i="3"/>
  <c r="G72" i="3"/>
  <c r="D72" i="3"/>
  <c r="G71" i="3"/>
  <c r="D71" i="3"/>
  <c r="G70" i="3"/>
  <c r="D70" i="3"/>
  <c r="G69" i="3"/>
  <c r="D69" i="3"/>
  <c r="G68" i="3"/>
  <c r="D68" i="3"/>
  <c r="G67" i="3"/>
  <c r="D67" i="3"/>
  <c r="G66" i="3"/>
  <c r="D66" i="3"/>
  <c r="G65" i="3"/>
  <c r="D65" i="3"/>
  <c r="G64" i="3"/>
  <c r="D64" i="3"/>
  <c r="G63" i="3"/>
  <c r="D63" i="3"/>
  <c r="G62" i="3"/>
  <c r="D62" i="3"/>
  <c r="G61" i="3"/>
  <c r="D61" i="3"/>
  <c r="G60" i="3"/>
  <c r="D60" i="3"/>
  <c r="G59" i="3"/>
  <c r="D59" i="3"/>
  <c r="G58" i="3"/>
  <c r="D58" i="3"/>
  <c r="G57" i="3"/>
  <c r="D57" i="3"/>
  <c r="G56" i="3"/>
  <c r="D56" i="3"/>
  <c r="G55" i="3"/>
  <c r="D55" i="3"/>
  <c r="G54" i="3"/>
  <c r="D54" i="3"/>
  <c r="G53" i="3"/>
  <c r="D53" i="3"/>
  <c r="G52" i="3"/>
  <c r="D52" i="3"/>
  <c r="G51" i="3"/>
  <c r="D51" i="3"/>
  <c r="G50" i="3"/>
  <c r="D50" i="3"/>
  <c r="G49" i="3"/>
  <c r="D49" i="3"/>
  <c r="G48" i="3"/>
  <c r="D48" i="3"/>
  <c r="G47" i="3"/>
  <c r="D47" i="3"/>
  <c r="G46" i="3"/>
  <c r="D46" i="3"/>
  <c r="G45" i="3"/>
  <c r="D45" i="3"/>
  <c r="G44" i="3"/>
  <c r="D44" i="3"/>
  <c r="G43" i="3"/>
  <c r="D43" i="3"/>
  <c r="G42" i="3"/>
  <c r="D42" i="3"/>
  <c r="G41" i="3"/>
  <c r="D41" i="3"/>
  <c r="G40" i="3"/>
  <c r="D40" i="3"/>
  <c r="G39" i="3"/>
  <c r="D39" i="3"/>
  <c r="G38" i="3"/>
  <c r="D38" i="3"/>
  <c r="G37" i="3"/>
  <c r="D37" i="3"/>
  <c r="G36" i="3"/>
  <c r="D36" i="3"/>
  <c r="G35" i="3"/>
  <c r="D35" i="3"/>
  <c r="G34" i="3"/>
  <c r="D34" i="3"/>
  <c r="G33" i="3"/>
  <c r="D33" i="3"/>
  <c r="G32" i="3"/>
  <c r="D32" i="3"/>
  <c r="G31" i="3"/>
  <c r="D31" i="3"/>
  <c r="G30" i="3"/>
  <c r="D30" i="3"/>
  <c r="G29" i="3"/>
  <c r="D29" i="3"/>
  <c r="G28" i="3"/>
  <c r="D28" i="3"/>
  <c r="G27" i="3"/>
  <c r="D27" i="3"/>
  <c r="G26" i="3"/>
  <c r="D26" i="3"/>
  <c r="G25" i="3"/>
  <c r="D25" i="3"/>
  <c r="G24" i="3"/>
  <c r="D24" i="3"/>
  <c r="G23" i="3"/>
  <c r="D23" i="3"/>
  <c r="G22" i="3"/>
  <c r="D22" i="3"/>
  <c r="G21" i="3"/>
  <c r="D21" i="3"/>
  <c r="G20" i="3"/>
  <c r="D20" i="3"/>
  <c r="G19" i="3"/>
  <c r="D19" i="3"/>
  <c r="G18" i="3"/>
  <c r="D18" i="3"/>
  <c r="G17" i="3"/>
  <c r="D17" i="3"/>
  <c r="G16" i="3"/>
  <c r="D16" i="3"/>
  <c r="G93" i="3"/>
  <c r="G88" i="3"/>
  <c r="Q15" i="3"/>
  <c r="P15" i="3"/>
  <c r="G15" i="3"/>
  <c r="D15" i="3"/>
  <c r="P14" i="3"/>
  <c r="G14" i="3"/>
  <c r="D14" i="3"/>
  <c r="P13" i="3"/>
  <c r="G13" i="3"/>
  <c r="D13" i="3"/>
  <c r="G12" i="3"/>
  <c r="D12" i="3"/>
  <c r="G11" i="3"/>
  <c r="D11" i="3"/>
  <c r="G10" i="3"/>
  <c r="D10" i="3"/>
  <c r="G9" i="3"/>
  <c r="D9" i="3"/>
  <c r="G8" i="3"/>
  <c r="D8" i="3"/>
  <c r="G7" i="3"/>
  <c r="D7" i="3"/>
  <c r="G6" i="3"/>
  <c r="D6" i="3"/>
  <c r="G5" i="3"/>
  <c r="D5" i="3"/>
  <c r="G4" i="3"/>
  <c r="D4" i="3"/>
  <c r="G3" i="3"/>
  <c r="D3" i="3"/>
  <c r="G2" i="3"/>
  <c r="D2" i="3"/>
  <c r="F32" i="2"/>
  <c r="D86" i="3"/>
  <c r="F11" i="14"/>
  <c r="I11" i="14"/>
  <c r="L11" i="14"/>
  <c r="O11" i="14"/>
  <c r="F10" i="14"/>
  <c r="I10" i="14"/>
  <c r="L10" i="14"/>
  <c r="O10" i="14"/>
  <c r="L9" i="14"/>
  <c r="I9" i="14"/>
  <c r="O9" i="14"/>
  <c r="F9" i="14"/>
  <c r="I8" i="14"/>
  <c r="L8" i="14"/>
  <c r="O8" i="14"/>
  <c r="F8" i="14"/>
  <c r="F7" i="14"/>
  <c r="I7" i="14"/>
  <c r="L7" i="14"/>
  <c r="O7" i="14"/>
  <c r="F6" i="14"/>
  <c r="O6" i="14"/>
  <c r="L6" i="14"/>
  <c r="I6" i="14"/>
  <c r="O16" i="5"/>
  <c r="M16" i="5"/>
  <c r="N16" i="5"/>
  <c r="M15" i="5"/>
  <c r="N15" i="5"/>
  <c r="O15" i="5"/>
  <c r="O14" i="5"/>
  <c r="M14" i="5"/>
  <c r="N14" i="5"/>
  <c r="O13" i="5"/>
  <c r="M13" i="5"/>
  <c r="N13" i="5"/>
  <c r="N12" i="5"/>
  <c r="M12" i="5"/>
  <c r="O12" i="5"/>
  <c r="M11" i="5"/>
  <c r="O11" i="5"/>
  <c r="N11" i="5"/>
  <c r="N10" i="5"/>
  <c r="O10" i="5"/>
  <c r="M10" i="5"/>
  <c r="N9" i="5"/>
  <c r="O9" i="5"/>
  <c r="M9" i="5"/>
  <c r="N8" i="5"/>
  <c r="O8" i="5"/>
  <c r="M8" i="5"/>
  <c r="M7" i="5"/>
  <c r="O7" i="5"/>
  <c r="N7" i="5"/>
  <c r="Q17" i="3"/>
  <c r="P17" i="3"/>
  <c r="P16" i="3"/>
  <c r="R16" i="3" s="1"/>
  <c r="Q16" i="3"/>
  <c r="S16" i="3" s="1"/>
  <c r="R15" i="3"/>
  <c r="S15" i="3"/>
  <c r="S14" i="3"/>
  <c r="R14" i="3"/>
  <c r="R13" i="3"/>
  <c r="S13" i="3"/>
  <c r="J6" i="3"/>
  <c r="K6" i="3"/>
  <c r="M6" i="3" s="1"/>
  <c r="L6" i="3"/>
  <c r="G5" i="4"/>
  <c r="H5" i="4"/>
  <c r="J5" i="4" s="1"/>
  <c r="I5" i="4"/>
  <c r="P5" i="4" s="1"/>
  <c r="J5" i="3"/>
  <c r="K5" i="3"/>
  <c r="M5" i="3" s="1"/>
  <c r="L5" i="3"/>
  <c r="D5" i="4"/>
  <c r="F5" i="4" s="1"/>
  <c r="C5" i="4"/>
  <c r="E5" i="4"/>
  <c r="F58" i="2"/>
  <c r="G58" i="2" s="1"/>
  <c r="H58" i="2"/>
  <c r="H57" i="2"/>
  <c r="G57" i="2"/>
  <c r="H56" i="2"/>
  <c r="G56" i="2"/>
  <c r="H55" i="2"/>
  <c r="G55" i="2"/>
  <c r="H54" i="2"/>
  <c r="G54" i="2"/>
  <c r="H53" i="2"/>
  <c r="G53" i="2"/>
  <c r="J49" i="2"/>
  <c r="I49" i="2"/>
  <c r="F49" i="2"/>
  <c r="F48" i="2"/>
  <c r="H48" i="2"/>
  <c r="G48" i="2"/>
  <c r="G47" i="2"/>
  <c r="H47" i="2"/>
  <c r="G46" i="2"/>
  <c r="H46" i="2"/>
  <c r="G45" i="2"/>
  <c r="H45" i="2"/>
  <c r="N7" i="3"/>
  <c r="O7" i="3"/>
  <c r="G44" i="2"/>
  <c r="H44" i="2"/>
  <c r="H43" i="2"/>
  <c r="G43" i="2"/>
  <c r="G42" i="2"/>
  <c r="H42" i="2"/>
  <c r="G38" i="2"/>
  <c r="H38" i="2"/>
  <c r="H37" i="2"/>
  <c r="G37" i="2"/>
  <c r="G36" i="2"/>
  <c r="H36" i="2"/>
  <c r="G35" i="2"/>
  <c r="H35" i="2"/>
  <c r="H34" i="2"/>
  <c r="G34" i="2"/>
  <c r="H33" i="2"/>
  <c r="G33" i="2"/>
  <c r="H31" i="2"/>
  <c r="G31" i="2"/>
  <c r="H27" i="2"/>
  <c r="G27" i="2"/>
  <c r="G26" i="2"/>
  <c r="H26" i="2"/>
  <c r="G25" i="2"/>
  <c r="H25" i="2"/>
  <c r="H24" i="2"/>
  <c r="G24" i="2"/>
  <c r="G23" i="2"/>
  <c r="H23" i="2"/>
  <c r="G22" i="2"/>
  <c r="H22" i="2"/>
  <c r="H21" i="2"/>
  <c r="G21" i="2"/>
  <c r="H20" i="2"/>
  <c r="G20" i="2"/>
  <c r="G16" i="2"/>
  <c r="H16" i="2"/>
  <c r="H15" i="2"/>
  <c r="G15" i="2"/>
  <c r="H14" i="2"/>
  <c r="G14" i="2"/>
  <c r="G13" i="2"/>
  <c r="H13" i="2"/>
  <c r="G12" i="2"/>
  <c r="H12" i="2"/>
  <c r="H11" i="2"/>
  <c r="G11" i="2"/>
  <c r="G10" i="2"/>
  <c r="H10" i="2"/>
  <c r="H9" i="2"/>
  <c r="G9" i="2"/>
  <c r="G32" i="2" l="1"/>
  <c r="H32" i="2"/>
  <c r="R17" i="3"/>
  <c r="S17" i="3"/>
  <c r="N6" i="3"/>
  <c r="O6" i="3"/>
  <c r="N5" i="3"/>
  <c r="O5" i="3"/>
  <c r="H49" i="2"/>
  <c r="G49" i="2"/>
</calcChain>
</file>

<file path=xl/sharedStrings.xml><?xml version="1.0" encoding="utf-8"?>
<sst xmlns="http://schemas.openxmlformats.org/spreadsheetml/2006/main" count="1095" uniqueCount="251">
  <si>
    <t>Resultados de las corridas</t>
  </si>
  <si>
    <t>Qué es esta planilla</t>
  </si>
  <si>
    <t>Reúne los resultados numéricos de todas las simulaciones del trabajo «Evaluación mediante simulación del impacto de la Línea F sobre la operación de la red de Subte de Buenos Aires»: cada réplica tal como la dio el modelo y, a partir de ellas, las medias y los intervalos de confianza que cita el informe. Las medias, desvíos e intervalos están escritos como fórmulas que leen las hojas de réplicas, para que se pueda seguir la cuenta celda por celda.</t>
  </si>
  <si>
    <t>Los dos modelos de la red</t>
  </si>
  <si>
    <t>El modelo principal es el de AnyLogic: un pasajero por agente, toda la red durante un día hábil de 5 a 24 h. Además se escribió aparte, en Java y sin AnyLogic, un simulador de control con la misma lógica. Sirvió para verificar a AnyLogic (si dos programas hechos por separado dan lo mismo con los mismos datos, es muy improbable que compartan un error) y, como corre un día en menos de un segundo, para las variantes de frecuencia de la Línea F y de supuestos, que piden muchas corridas.</t>
  </si>
  <si>
    <t>Réplica</t>
  </si>
  <si>
    <t>Una simulación completa del día (o de la hora pico, en el submodelo de Constitución) con otra secuencia de números al azar. Cada réplica da un valor de cada medida; se hacen cien por escenario para separar el efecto real del azar.</t>
  </si>
  <si>
    <t>Intervalo de confianza del 95 %</t>
  </si>
  <si>
    <t>El margen (±) que acompaña a cada media. Se calcula como en Ross, Simulación, 2.ª ed., cap. 7: media ± z · S / √n, con z = 1,96, S el desvío entre réplicas y n la cantidad de réplicas (100). Con 95 % de confianza el valor verdadero está en ese rango. Si el intervalo de una diferencia entre escenarios no incluye el cero, la diferencia no es casual. En el submodelo de Constitución, con solo 10 réplicas, se usa en lugar de 1,96 el valor de la t de Student con n − 1 grados de libertad, que da un margen más ancho.</t>
  </si>
  <si>
    <t>Cómo se mide el efecto de la Línea F</t>
  </si>
  <si>
    <t>En el simulador de control los dos escenarios usan los mismos números al azar (la réplica i usa la semilla i en los dos), así que el efecto se calcula réplica a réplica: la diferencia de cada réplica y después su media e intervalo. En AnyLogic las réplicas de cada escenario usan números al azar distintos; el efecto es la diferencia de las medias y su margen combina los dos desvíos: 1,96 · √(S₁²/n + S₂²/n).</t>
  </si>
  <si>
    <t>Medidas</t>
  </si>
  <si>
    <t>Viaje medio: tiempo promedio de un viaje, desde que el pasajero entra a la red hasta que llega a destino (s). Espera media: tiempo promedio que un pasajero pasa en los andenes esperando el tren, sumando todas sus esperas (s). Ascensos por viaje: cuántos trenes toma en promedio cada pasajero (1 = sin transbordo). Pico de la Línea C (o de la F): pasajeros por hora a bordo en el tramo y la hora más cargados de la línea. Intervalo entre trenes: tiempo entre dos trenes seguidos de la misma línea y sentido.</t>
  </si>
  <si>
    <t>Hoja «Resumen»</t>
  </si>
  <si>
    <t>Media, desvío, n e intervalo de confianza de cada medida, por escenario: red actual y red con la Línea F con un tren cada 90, 100, 120, 150 y 189 s (simulador de control) y las dos corridas de AnyLogic. El escenario principal es la Línea F cada 100 s.</t>
  </si>
  <si>
    <t>Hoja «Efecto F100»</t>
  </si>
  <si>
    <t>El efecto de la Línea F cada 100 s sobre el viaje y la espera: diferencias réplica a réplica del simulador de control, y comparación con la diferencia de medias de AnyLogic.</t>
  </si>
  <si>
    <t>Hoja «Sensibilidad»</t>
  </si>
  <si>
    <t>El mismo efecto con cada supuesto propio del trabajo reemplazado por una alternativa (reparto horario de los viajes, capacidad de los trenes, pasajero que abandona, tiempo de detención). Si el efecto casi no cambia, la conclusión no depende de ese supuesto. Las réplicas están en «Sensibilidad réplicas».</t>
  </si>
  <si>
    <t>Hoja «Constitucion»</t>
  </si>
  <si>
    <t>Submodelo peatonal de la estación Constitución de la Línea F: diez réplicas de una hora pico por variante, con media, desvío e intervalo de confianza (t de Student), y las comparaciones entre variantes.</t>
  </si>
  <si>
    <t>Hojas «Control …»</t>
  </si>
  <si>
    <t>Las 100 réplicas del simulador de control de cada escenario: «Control base» es la red actual y «Control F90» a «Control F189», la red con la Línea F y el intervalo entre trenes indicado en segundos.</t>
  </si>
  <si>
    <t>Hojas «AnyLogic …»</t>
  </si>
  <si>
    <t>Las 100 réplicas del modelo de AnyLogic: red actual («AnyLogic sin F») y red con la Línea F cada 100 s («AnyLogic F100»). «AnyLogic frecuencias» tiene la red actual y la Línea F a cada intervalo entre trenes, diez réplicas por escenario, con su resumen.</t>
  </si>
  <si>
    <t>Celdas con fórmula</t>
  </si>
  <si>
    <t>El valor z = 1,96 está en una sola celda de la hoja «Resumen» con el nombre z_95; todas las fórmulas de intervalo lo usan. Las celdas de fondo amarillo son las cifras que cita el informe.</t>
  </si>
  <si>
    <t>Resultados por escenario: media e intervalo de confianza del 95 %</t>
  </si>
  <si>
    <t>Método (Ross, Simulación, 2.ª ed., cap. 7): cada réplica da un valor de cada medida; se informa la media de las réplicas x̄ y su intervalo de confianza del 95 %, x̄ ± z_{α/2} · s / √n, con z = 1,96, s el desvío entre réplicas y n = 100 réplicas por escenario. «Desde» y «Hasta» son los extremos del intervalo. Las fórmulas leen las hojas de réplicas de cada escenario.</t>
  </si>
  <si>
    <t>Picos de carga: el simulador de control guarda, para cada tramo y hora, la media y el desvío de los pasajeros por hora entre las 100 réplicas; el pico es la celda (tramo, hora) de mayor media, así que su media, desvío y n se cargan como valores y solo el intervalo es fórmula. En AnyLogic el pico es el máximo de cada réplica (en cualquier tramo y hora), promediado después; por eso puede quedar algo por encima del del control. El cambio de la C respecto de la red actual es un cociente de dos medias; su margen se aproxima con la fórmula de primer orden: 1,96 · (b/a) · √((s_b/b)²/n_b + (s_a/a)²/n_a).</t>
  </si>
  <si>
    <t>Valor z del 95 % (z_{0,025})</t>
  </si>
  <si>
    <t>Viaje medio (s)</t>
  </si>
  <si>
    <t>Modelo</t>
  </si>
  <si>
    <t>Escenario</t>
  </si>
  <si>
    <t>Media</t>
  </si>
  <si>
    <t>Desvío</t>
  </si>
  <si>
    <t>n</t>
  </si>
  <si>
    <t>IC 95 % (±)</t>
  </si>
  <si>
    <t>Desde</t>
  </si>
  <si>
    <t>Hasta</t>
  </si>
  <si>
    <t>Simulador de control</t>
  </si>
  <si>
    <t>Red actual (sin Línea F)</t>
  </si>
  <si>
    <t>Con Línea F, un tren cada 90 s</t>
  </si>
  <si>
    <t>Con Línea F, un tren cada 100 s</t>
  </si>
  <si>
    <t>Con Línea F, un tren cada 120 s</t>
  </si>
  <si>
    <t>Con Línea F, un tren cada 150 s</t>
  </si>
  <si>
    <t>Con Línea F, un tren cada 189 s</t>
  </si>
  <si>
    <t>AnyLogic</t>
  </si>
  <si>
    <t>Espera media (s)</t>
  </si>
  <si>
    <t>Ascensos por viaje</t>
  </si>
  <si>
    <t>Pico de carga de la Línea C (pas./h)</t>
  </si>
  <si>
    <t>Desvío (pas./h)</t>
  </si>
  <si>
    <t>Cambio respecto de la red actual (%)</t>
  </si>
  <si>
    <t>IC del cambio (± puntos %)</t>
  </si>
  <si>
    <t>Tramo y hora del pico</t>
  </si>
  <si>
    <t>—</t>
  </si>
  <si>
    <t>San Juan → Independencia, de 8 a 9 h</t>
  </si>
  <si>
    <t>Máximo de cada réplica, promediado</t>
  </si>
  <si>
    <t>Pico de carga de la Línea F (pas./h)</t>
  </si>
  <si>
    <t>Chile → Congreso, de 8 a 9 h</t>
  </si>
  <si>
    <t>Viaje sin F (s)</t>
  </si>
  <si>
    <t>Viaje con F (s)</t>
  </si>
  <si>
    <t>Diferencia de viaje (s)</t>
  </si>
  <si>
    <t>Espera sin F (s)</t>
  </si>
  <si>
    <t>Espera con F (s)</t>
  </si>
  <si>
    <t>Diferencia de espera (s)</t>
  </si>
  <si>
    <t>Efecto de la Línea F cada 100 s (con F − sin F); negativo = baja</t>
  </si>
  <si>
    <t>Simulador de control: diferencia réplica a réplica (mismos números al azar en los dos escenarios)</t>
  </si>
  <si>
    <t>Medida</t>
  </si>
  <si>
    <t>Media de la diferencia</t>
  </si>
  <si>
    <t>Pico de la Línea C (cambio %)</t>
  </si>
  <si>
    <t>El pico de la C no tiene un valor por réplica en el simulador de control (se guarda la media y el desvío de cada tramo y hora); su cambio se calcula en «Resumen» como cociente de dos medias.</t>
  </si>
  <si>
    <t>AnyLogic: diferencia de medias (réplicas con números al azar distintos en cada escenario)</t>
  </si>
  <si>
    <t>Media sin F</t>
  </si>
  <si>
    <t>Media con F</t>
  </si>
  <si>
    <t>Desvío sin F</t>
  </si>
  <si>
    <t>Desvío con F</t>
  </si>
  <si>
    <t>n sin F</t>
  </si>
  <si>
    <t>n con F</t>
  </si>
  <si>
    <t>Diferencia</t>
  </si>
  <si>
    <t>Pico de la Línea C (pas./h)</t>
  </si>
  <si>
    <t>IC de la diferencia en AnyLogic: 1,96 · √(S₁²/n₁ + S₂²/n₂). El pico de la C de AnyLogic es el máximo de cada réplica, promediado; queda vacío si las réplicas no lo traen.</t>
  </si>
  <si>
    <t>Efecto de la Línea F (un tren cada 100 s) con cada supuesto reemplazado por una alternativa</t>
  </si>
  <si>
    <t>Cada fila repite la comparación entre la red actual y la red con la Línea F cada 100 s cambiando un solo supuesto (simulador de control, 100 réplicas por escenario, mismos números al azar en los dos). El efecto en el viaje y en la espera es la media de las diferencias réplica a réplica ± 1,96 · s / √n. El pico de la C es la celda tramo-hora de mayor carga media; su cambio es un cociente de dos medias con margen de primer orden. Si el efecto casi no cambia entre filas, la conclusión no depende de ese supuesto.</t>
  </si>
  <si>
    <t>Variante</t>
  </si>
  <si>
    <t>Qué cambia</t>
  </si>
  <si>
    <t>Efecto en el viaje (s)</t>
  </si>
  <si>
    <t>Efecto en la espera (s)</t>
  </si>
  <si>
    <t>Pico C sin F (pas./h)</t>
  </si>
  <si>
    <t>Pico C con F (pas./h)</t>
  </si>
  <si>
    <t>Cambio en el pico de la C (%)</t>
  </si>
  <si>
    <t>Supuestos del trabajo</t>
  </si>
  <si>
    <t>Perfil horario propio de cada par origen–destino; quien no entra al tren espera el siguiente; la detención depende de los pasajeros que suben y bajan.</t>
  </si>
  <si>
    <t>Una sola curva horaria para la red</t>
  </si>
  <si>
    <t>Fuera de las dos horas pico, los viajes de todos los pares origen–destino se reparten en el día con una misma curva, la del conjunto de la red, en vez del perfil propio de cada par.</t>
  </si>
  <si>
    <t>Viajes parejos fuera de las horas pico</t>
  </si>
  <si>
    <t>Fuera de las dos horas pico, los viajes de cada par se reparten en partes iguales entre las horas (caso extremo, poco realista).</t>
  </si>
  <si>
    <t>Trenes sin límite de capacidad</t>
  </si>
  <si>
    <t>Todos los que esperan suben al tren que llega; nadie queda en el andén por tren lleno.</t>
  </si>
  <si>
    <t>El pasajero se va tras perder dos trenes</t>
  </si>
  <si>
    <t>Quien ve partir dos trenes llenos abandona el viaje (en la base, espera hasta poder subir).</t>
  </si>
  <si>
    <t>Detención fija en estación</t>
  </si>
  <si>
    <t>El tren se detiene siempre el mínimo de diseño (24 s; 30 s en la Línea F), sin sumar tiempo por pasajero que sube o baja.</t>
  </si>
  <si>
    <t>Doble tiempo de detención por pasajero</t>
  </si>
  <si>
    <t>Se duplica el tiempo que agrega cada pasajero que baja (1,85 s) o sube (2,1 s).</t>
  </si>
  <si>
    <t>Triple tiempo de detención por pasajero</t>
  </si>
  <si>
    <t>Se triplica el tiempo que agrega cada pasajero que baja o sube.</t>
  </si>
  <si>
    <t>La n del pico (100 réplicas) se toma de la columna n de la espera, que cuenta las mismas réplicas.</t>
  </si>
  <si>
    <t>Submodelo peatonal de la estación Constitución de la Línea F (una hora pico por réplica)</t>
  </si>
  <si>
    <t>Diez réplicas por variante: menos que las cien de la red, porque cada una mueve miles de peatones por cuatro niveles y tarda varios minutos. Por eso el intervalo usa la t de Student con n − 1 grados de libertad en lugar de 1,96: IC = t · s / √n, con t = INV.T.2C(0,05; n − 1) (2,262 para n = 10), que da un margen más ancho. Las comparaciones entre variantes son diferencias de medias con muestras independientes; su margen es t · √(s₁²/n₁ + s₂²/n₂) con los grados de libertad de Welch.</t>
  </si>
  <si>
    <t>La variante de la tarde con las mecánicas del lado Roca en el sentido de la hora pico tiene solo tres réplicas: el modelo se detuvo por un error de la biblioteca peatonal en la tercera, a los 55 minutos simulados, y esa réplica casi completa se conserva.</t>
  </si>
  <si>
    <t>Comparaciones entre variantes (variante − caso base)</t>
  </si>
  <si>
    <t>Comparación</t>
  </si>
  <si>
    <t>Base: media</t>
  </si>
  <si>
    <t>Base: desvío</t>
  </si>
  <si>
    <t>Base: n</t>
  </si>
  <si>
    <t>Variante: media</t>
  </si>
  <si>
    <t>Variante: desvío</t>
  </si>
  <si>
    <t>Variante: n</t>
  </si>
  <si>
    <t>Diferencia (s)</t>
  </si>
  <si>
    <t>Grados de libertad (Welch)</t>
  </si>
  <si>
    <t>t de Student</t>
  </si>
  <si>
    <t>Cambio (%)</t>
  </si>
  <si>
    <t>Si solo el 30 % fuera del Roca (mañana)</t>
  </si>
  <si>
    <t>Entrada → tren, media (s)</t>
  </si>
  <si>
    <t>Tren → salida, media (s)</t>
  </si>
  <si>
    <t>Si solo el 30 % fuera del Roca (tarde)</t>
  </si>
  <si>
    <t>Mecánicas del lado Roca en el sentido de la hora pico (mañana)</t>
  </si>
  <si>
    <t>Mecánicas del lado Roca en el sentido de la hora pico (tarde)</t>
  </si>
  <si>
    <t>Salida elegida al azar (tarde)</t>
  </si>
  <si>
    <t>INV.T.2C toma la parte entera de los grados de libertad de Welch.</t>
  </si>
  <si>
    <t>Mañana (8 a 9 h), caso base: 70 % de los pasajeros va o viene del Roca (n = 10)</t>
  </si>
  <si>
    <t>Tiempo simulado (s)</t>
  </si>
  <si>
    <t>Entraron a la estación</t>
  </si>
  <si>
    <t>Subieron al tren</t>
  </si>
  <si>
    <t>Quedaron adentro al final de la hora</t>
  </si>
  <si>
    <t>Entrada → tren: media (s)</t>
  </si>
  <si>
    <t>Entrada → tren: mediana (s)</t>
  </si>
  <si>
    <t>Entrada → tren: percentil 90 (s)</t>
  </si>
  <si>
    <t>Entrada → tren: percentil 95 (s)</t>
  </si>
  <si>
    <t>Bajaron del tren y salieron</t>
  </si>
  <si>
    <t>Tren → salida: media (s)</t>
  </si>
  <si>
    <t>Tren → salida: mediana (s)</t>
  </si>
  <si>
    <t>Tren → salida: percentil 90 (s)</t>
  </si>
  <si>
    <t>Tren → salida: percentil 95 (s)</t>
  </si>
  <si>
    <t>Máximo de personas esperando a la vez en el andén norte</t>
  </si>
  <si>
    <t>Escalera más cargada: mecánica ESM-09 (baja), pas./h</t>
  </si>
  <si>
    <t>n (réplicas)</t>
  </si>
  <si>
    <t>t de Student (95 %)</t>
  </si>
  <si>
    <t>Mañana, si solo el 30 % fuera del Roca (n = 10)</t>
  </si>
  <si>
    <t>Mañana, las dos escaleras mecánicas del lado Roca en el sentido de la hora pico (n = 10)</t>
  </si>
  <si>
    <t>Tarde (17 a 18 h), caso base: 70 % del Roca (n = 10)</t>
  </si>
  <si>
    <t>Escalera más cargada: mecánica ESM-05 (sube), pas./h</t>
  </si>
  <si>
    <t>Tarde, si solo el 30 % fuera del Roca (n = 10)</t>
  </si>
  <si>
    <t>Escalera más cargada: mecánica ESM-03 (sube), pas./h</t>
  </si>
  <si>
    <t>Tarde, las dos escaleras mecánicas del lado Roca en el sentido de la hora pico (n = 3)</t>
  </si>
  <si>
    <t>Escalera más cargada: mecánica ESM-10 (sube), pas./h</t>
  </si>
  <si>
    <t>Tarde, pasajeros que eligen la salida al azar (n = 10)</t>
  </si>
  <si>
    <t>Escalera más cargada: mecánica ESM-08 (sube), pas./h</t>
  </si>
  <si>
    <t>Semilla</t>
  </si>
  <si>
    <t>Pasajeros que entraron</t>
  </si>
  <si>
    <t>Pasajeros que llegaron a destino</t>
  </si>
  <si>
    <t>Ascensos por viaje (trenes que toma cada pasajero)</t>
  </si>
  <si>
    <t>Pasajeros que no subieron al primer tren (día)</t>
  </si>
  <si>
    <t>Pasajeros en la red a la vez (máx.)</t>
  </si>
  <si>
    <t>Trenes en servicio (máx.)</t>
  </si>
  <si>
    <t>Retenciones de trenes por separación</t>
  </si>
  <si>
    <t>Detención media en estación (s)</t>
  </si>
  <si>
    <t>Pasajeros que abandonaron</t>
  </si>
  <si>
    <t>Veces que un pasajero no entró al tren (día)</t>
  </si>
  <si>
    <t>No entraron al tren, Línea A</t>
  </si>
  <si>
    <t>No entraron al tren, Línea B</t>
  </si>
  <si>
    <t>No entraron al tren, Línea C</t>
  </si>
  <si>
    <t>No entraron al tren, Línea D</t>
  </si>
  <si>
    <t>No entraron al tren, Línea E</t>
  </si>
  <si>
    <t>No entraron al tren, Línea H</t>
  </si>
  <si>
    <t>Segundos de retención (día)</t>
  </si>
  <si>
    <t>Pico de la Línea C (pas./h, máximo de la réplica)</t>
  </si>
  <si>
    <t>Pico de la Línea F (pas./h, máximo de la réplica)</t>
  </si>
  <si>
    <t>Dónde fue el pico de la C (línea/sentido/orden @ hora)</t>
  </si>
  <si>
    <t>Tramo y hora del pico de la C</t>
  </si>
  <si>
    <t>C/1/1@8</t>
  </si>
  <si>
    <t>C/1/0@8</t>
  </si>
  <si>
    <t>Constitucion → San Juan, de 8 a 9 h</t>
  </si>
  <si>
    <t>C/1/2@8</t>
  </si>
  <si>
    <t>Independencia → Moreno, de 8 a 9 h</t>
  </si>
  <si>
    <t>C/1/1@7</t>
  </si>
  <si>
    <t>San Juan → Independencia, de 7 a 8 h</t>
  </si>
  <si>
    <t>C/1/0@7</t>
  </si>
  <si>
    <t>Constitucion → San Juan, de 7 a 8 h</t>
  </si>
  <si>
    <t>No entraron al tren, Línea F</t>
  </si>
  <si>
    <t>AnyLogic: la red actual y la Línea F a cada intervalo entre trenes, diez réplicas por escenario</t>
  </si>
  <si>
    <t>Experimento de variación del parámetro escenario (0 = red actual; 1 a 5 = Línea F con un tren cada 90, 100, 120, 150 y 189 s), diez réplicas cada uno. Con diez réplicas el intervalo usa la t de Student: IC = t · s / √n, con t = INV.T.2C(0,05; n − 1). El pico es el máximo de cada réplica (pas./h en un tramo y una hora). Las réplicas están debajo del resumen.</t>
  </si>
  <si>
    <t>Réplicas</t>
  </si>
  <si>
    <t>t</t>
  </si>
  <si>
    <t>Viaje medio (s): media</t>
  </si>
  <si>
    <t>desvío</t>
  </si>
  <si>
    <t>Espera media (s): media</t>
  </si>
  <si>
    <t>Pico C (pas./h): media</t>
  </si>
  <si>
    <t>Pico F (pas./h): media</t>
  </si>
  <si>
    <t>Red actual</t>
  </si>
  <si>
    <t>Línea F cada 90 s</t>
  </si>
  <si>
    <t>Línea F cada 100 s</t>
  </si>
  <si>
    <t>Línea F cada 120 s</t>
  </si>
  <si>
    <t>Línea F cada 150 s</t>
  </si>
  <si>
    <t>Línea F cada 189 s</t>
  </si>
  <si>
    <t>Intervalo de la F (s; 0 = sin F)</t>
  </si>
  <si>
    <t>Pico de la Línea F (pas./h)</t>
  </si>
  <si>
    <t>Dónde fue el pico de la C</t>
  </si>
  <si>
    <t>Una sola curva horaria para la red: viaje sin F (s)</t>
  </si>
  <si>
    <t>Una sola curva horaria para la red: viaje con F (s)</t>
  </si>
  <si>
    <t>Una sola curva horaria para la red: diferencia de viaje (s)</t>
  </si>
  <si>
    <t>Una sola curva horaria para la red: espera sin F (s)</t>
  </si>
  <si>
    <t>Una sola curva horaria para la red: espera con F (s)</t>
  </si>
  <si>
    <t>Una sola curva horaria para la red: diferencia de espera (s)</t>
  </si>
  <si>
    <t>Viajes parejos fuera de las horas pico: viaje sin F (s)</t>
  </si>
  <si>
    <t>Viajes parejos fuera de las horas pico: viaje con F (s)</t>
  </si>
  <si>
    <t>Viajes parejos fuera de las horas pico: diferencia de viaje (s)</t>
  </si>
  <si>
    <t>Viajes parejos fuera de las horas pico: espera sin F (s)</t>
  </si>
  <si>
    <t>Viajes parejos fuera de las horas pico: espera con F (s)</t>
  </si>
  <si>
    <t>Viajes parejos fuera de las horas pico: diferencia de espera (s)</t>
  </si>
  <si>
    <t>Trenes sin límite de capacidad: viaje sin F (s)</t>
  </si>
  <si>
    <t>Trenes sin límite de capacidad: viaje con F (s)</t>
  </si>
  <si>
    <t>Trenes sin límite de capacidad: diferencia de viaje (s)</t>
  </si>
  <si>
    <t>Trenes sin límite de capacidad: espera sin F (s)</t>
  </si>
  <si>
    <t>Trenes sin límite de capacidad: espera con F (s)</t>
  </si>
  <si>
    <t>Trenes sin límite de capacidad: diferencia de espera (s)</t>
  </si>
  <si>
    <t>El pasajero se va tras perder dos trenes: viaje sin F (s)</t>
  </si>
  <si>
    <t>El pasajero se va tras perder dos trenes: viaje con F (s)</t>
  </si>
  <si>
    <t>El pasajero se va tras perder dos trenes: diferencia de viaje (s)</t>
  </si>
  <si>
    <t>El pasajero se va tras perder dos trenes: espera sin F (s)</t>
  </si>
  <si>
    <t>El pasajero se va tras perder dos trenes: espera con F (s)</t>
  </si>
  <si>
    <t>El pasajero se va tras perder dos trenes: diferencia de espera (s)</t>
  </si>
  <si>
    <t>Detención fija en estación: viaje sin F (s)</t>
  </si>
  <si>
    <t>Detención fija en estación: viaje con F (s)</t>
  </si>
  <si>
    <t>Detención fija en estación: diferencia de viaje (s)</t>
  </si>
  <si>
    <t>Detención fija en estación: espera sin F (s)</t>
  </si>
  <si>
    <t>Detención fija en estación: espera con F (s)</t>
  </si>
  <si>
    <t>Detención fija en estación: diferencia de espera (s)</t>
  </si>
  <si>
    <t>Doble tiempo de detención por pasajero: viaje sin F (s)</t>
  </si>
  <si>
    <t>Doble tiempo de detención por pasajero: viaje con F (s)</t>
  </si>
  <si>
    <t>Doble tiempo de detención por pasajero: diferencia de viaje (s)</t>
  </si>
  <si>
    <t>Doble tiempo de detención por pasajero: espera sin F (s)</t>
  </si>
  <si>
    <t>Doble tiempo de detención por pasajero: espera con F (s)</t>
  </si>
  <si>
    <t>Doble tiempo de detención por pasajero: diferencia de espera (s)</t>
  </si>
  <si>
    <t>Triple tiempo de detención por pasajero: viaje sin F (s)</t>
  </si>
  <si>
    <t>Triple tiempo de detención por pasajero: viaje con F (s)</t>
  </si>
  <si>
    <t>Triple tiempo de detención por pasajero: diferencia de viaje (s)</t>
  </si>
  <si>
    <t>Triple tiempo de detención por pasajero: espera sin F (s)</t>
  </si>
  <si>
    <t>Triple tiempo de detención por pasajero: espera con F (s)</t>
  </si>
  <si>
    <t>Triple tiempo de detención por pasajero: diferencia de espera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</si>
</sst>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
    <numFmt numFmtId="167" formatCode="0.0"/>
  </numFmts>
  <fonts count="3" x14ac:knownFonts="1">
    <font>
      <sz val="11"/>
      <color theme="1"/>
      <name val="Calibri"/>
      <family val="2"/>
      <scheme val="minor"/>
    </font>
    <font>
      <b/>
      <sz val="13"/>
      <name val="Calibri"/>
    </font>
    <font>
      <b/>
      <sz val="11"/>
      <name val="Calibri"/>
    </font>
  </fonts>
  <fills count="4">
    <fill>
      <patternFill patternType="none"/>
    </fill>
    <fill>
      <patternFill patternType="gray125"/>
    </fill>
    <fill>
      <patternFill patternType="solid">
        <fgColor rgb="FFDDE6F0"/>
      </patternFill>
    </fill>
    <fill>
      <patternFill patternType="solid">
        <fgColor rgb="FFFFF2CC"/>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1" fillId="0" borderId="0" xfId="0" applyFont="1"/>
    <xf numFmtId="0" fontId="2" fillId="0" borderId="0" xfId="0" applyFont="1"/>
    <xf numFmtId="2" fontId="2" fillId="3" borderId="0" xfId="0" applyNumberFormat="1" applyFont="1" applyFill="1"/>
    <xf numFmtId="0" fontId="2" fillId="2" borderId="0" xfId="0" applyFont="1" applyFill="1" applyAlignment="1">
      <alignment vertical="center" wrapText="1"/>
    </xf>
    <xf numFmtId="164" fontId="0" fillId="3" borderId="0" xfId="0" applyNumberFormat="1" applyFill="1"/>
    <xf numFmtId="164" fontId="0" fillId="0" borderId="0" xfId="0" applyNumberFormat="1"/>
    <xf numFmtId="1" fontId="0" fillId="0" borderId="0" xfId="0" applyNumberFormat="1"/>
    <xf numFmtId="165" fontId="0" fillId="0" borderId="0" xfId="0" applyNumberFormat="1"/>
    <xf numFmtId="3" fontId="0" fillId="3" borderId="0" xfId="0" applyNumberFormat="1" applyFill="1"/>
    <xf numFmtId="3" fontId="0" fillId="0" borderId="0" xfId="0" applyNumberFormat="1"/>
    <xf numFmtId="167" fontId="0" fillId="0" borderId="0" xfId="0" applyNumberFormat="1"/>
    <xf numFmtId="167" fontId="0" fillId="3" borderId="0" xfId="0" applyNumberFormat="1" applyFill="1"/>
    <xf numFmtId="166" fontId="0" fillId="0" borderId="0" xfId="0" applyNumberFormat="1"/>
    <xf numFmtId="2" fontId="0" fillId="0" borderId="0" xfId="0" applyNumberFormat="1"/>
    <xf numFmtId="49"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pane ySplit="1" topLeftCell="A2" activePane="bottomLeft" state="frozen"/>
      <selection pane="bottomLeft"/>
    </sheetView>
  </sheetViews>
  <sheetFormatPr baseColWidth="10" defaultColWidth="9.140625" defaultRowHeight="15" x14ac:dyDescent="0.25"/>
  <cols>
    <col min="1" max="1" width="30" customWidth="1"/>
    <col min="2" max="2" width="110" customWidth="1"/>
  </cols>
  <sheetData>
    <row r="1" spans="1:2" ht="17.25" x14ac:dyDescent="0.25">
      <c r="A1" s="1" t="s">
        <v>0</v>
      </c>
    </row>
    <row r="2" spans="1:2" ht="75" customHeight="1" x14ac:dyDescent="0.25">
      <c r="A2" s="2" t="s">
        <v>1</v>
      </c>
      <c r="B2" s="3" t="s">
        <v>2</v>
      </c>
    </row>
    <row r="3" spans="1:2" ht="90" customHeight="1" x14ac:dyDescent="0.25">
      <c r="A3" s="2" t="s">
        <v>3</v>
      </c>
      <c r="B3" s="3" t="s">
        <v>4</v>
      </c>
    </row>
    <row r="4" spans="1:2" ht="45" customHeight="1" x14ac:dyDescent="0.25">
      <c r="A4" s="2" t="s">
        <v>5</v>
      </c>
      <c r="B4" s="3" t="s">
        <v>6</v>
      </c>
    </row>
    <row r="5" spans="1:2" ht="90" customHeight="1" x14ac:dyDescent="0.25">
      <c r="A5" s="2" t="s">
        <v>7</v>
      </c>
      <c r="B5" s="3" t="s">
        <v>8</v>
      </c>
    </row>
    <row r="6" spans="1:2" ht="75" customHeight="1" x14ac:dyDescent="0.25">
      <c r="A6" s="2" t="s">
        <v>9</v>
      </c>
      <c r="B6" s="3" t="s">
        <v>10</v>
      </c>
    </row>
    <row r="7" spans="1:2" ht="90" customHeight="1" x14ac:dyDescent="0.25">
      <c r="A7" s="2" t="s">
        <v>11</v>
      </c>
      <c r="B7" s="3" t="s">
        <v>12</v>
      </c>
    </row>
    <row r="8" spans="1:2" ht="45" customHeight="1" x14ac:dyDescent="0.25">
      <c r="A8" s="2" t="s">
        <v>13</v>
      </c>
      <c r="B8" s="3" t="s">
        <v>14</v>
      </c>
    </row>
    <row r="9" spans="1:2" ht="30" customHeight="1" x14ac:dyDescent="0.25">
      <c r="A9" s="2" t="s">
        <v>15</v>
      </c>
      <c r="B9" s="3" t="s">
        <v>16</v>
      </c>
    </row>
    <row r="10" spans="1:2" ht="60" customHeight="1" x14ac:dyDescent="0.25">
      <c r="A10" s="2" t="s">
        <v>17</v>
      </c>
      <c r="B10" s="3" t="s">
        <v>18</v>
      </c>
    </row>
    <row r="11" spans="1:2" ht="45" customHeight="1" x14ac:dyDescent="0.25">
      <c r="A11" s="2" t="s">
        <v>19</v>
      </c>
      <c r="B11" s="3" t="s">
        <v>20</v>
      </c>
    </row>
    <row r="12" spans="1:2" ht="45" customHeight="1" x14ac:dyDescent="0.25">
      <c r="A12" s="2" t="s">
        <v>21</v>
      </c>
      <c r="B12" s="3" t="s">
        <v>22</v>
      </c>
    </row>
    <row r="13" spans="1:2" ht="45" customHeight="1" x14ac:dyDescent="0.25">
      <c r="A13" s="2" t="s">
        <v>23</v>
      </c>
      <c r="B13" s="3" t="s">
        <v>24</v>
      </c>
    </row>
    <row r="14" spans="1:2" ht="30" customHeight="1" x14ac:dyDescent="0.25">
      <c r="A14" s="2" t="s">
        <v>25</v>
      </c>
      <c r="B14" s="3"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8"/>
  <sheetViews>
    <sheetView workbookViewId="0">
      <pane ySplit="1" topLeftCell="A2" activePane="bottomLeft" state="frozen"/>
      <selection pane="bottomLeft"/>
    </sheetView>
  </sheetViews>
  <sheetFormatPr baseColWidth="10" defaultColWidth="9.140625" defaultRowHeight="15" x14ac:dyDescent="0.25"/>
  <cols>
    <col min="1" max="1" width="22" customWidth="1"/>
    <col min="2" max="2" width="34" customWidth="1"/>
    <col min="3" max="4" width="12" customWidth="1"/>
    <col min="5" max="5" width="7" customWidth="1"/>
    <col min="6" max="8" width="12" customWidth="1"/>
    <col min="9" max="10" width="16" customWidth="1"/>
    <col min="11" max="11" width="38" customWidth="1"/>
  </cols>
  <sheetData>
    <row r="1" spans="1:11" ht="17.25" x14ac:dyDescent="0.3">
      <c r="A1" s="4" t="s">
        <v>27</v>
      </c>
    </row>
    <row r="2" spans="1:11" ht="48" customHeight="1" x14ac:dyDescent="0.25">
      <c r="A2" s="19" t="s">
        <v>28</v>
      </c>
      <c r="B2" s="20"/>
      <c r="C2" s="20"/>
      <c r="D2" s="20"/>
      <c r="E2" s="20"/>
      <c r="F2" s="20"/>
      <c r="G2" s="20"/>
      <c r="H2" s="20"/>
      <c r="I2" s="20"/>
      <c r="J2" s="20"/>
      <c r="K2" s="20"/>
    </row>
    <row r="3" spans="1:11" ht="62.1" customHeight="1" x14ac:dyDescent="0.25">
      <c r="A3" s="19" t="s">
        <v>29</v>
      </c>
      <c r="B3" s="20"/>
      <c r="C3" s="20"/>
      <c r="D3" s="20"/>
      <c r="E3" s="20"/>
      <c r="F3" s="20"/>
      <c r="G3" s="20"/>
      <c r="H3" s="20"/>
      <c r="I3" s="20"/>
      <c r="J3" s="20"/>
      <c r="K3" s="20"/>
    </row>
    <row r="5" spans="1:11" x14ac:dyDescent="0.25">
      <c r="A5" s="5" t="s">
        <v>30</v>
      </c>
      <c r="C5" s="6">
        <v>1.96</v>
      </c>
    </row>
    <row r="7" spans="1:11" ht="17.25" x14ac:dyDescent="0.3">
      <c r="A7" s="4" t="s">
        <v>31</v>
      </c>
    </row>
    <row r="8" spans="1:11" x14ac:dyDescent="0.25">
      <c r="A8" s="7" t="s">
        <v>32</v>
      </c>
      <c r="B8" s="7" t="s">
        <v>33</v>
      </c>
      <c r="C8" s="7" t="s">
        <v>34</v>
      </c>
      <c r="D8" s="7" t="s">
        <v>35</v>
      </c>
      <c r="E8" s="7" t="s">
        <v>36</v>
      </c>
      <c r="F8" s="7" t="s">
        <v>37</v>
      </c>
      <c r="G8" s="7" t="s">
        <v>38</v>
      </c>
      <c r="H8" s="7" t="s">
        <v>39</v>
      </c>
    </row>
    <row r="9" spans="1:11" x14ac:dyDescent="0.25">
      <c r="A9" t="s">
        <v>40</v>
      </c>
      <c r="B9" t="s">
        <v>41</v>
      </c>
      <c r="C9" s="8">
        <f>AVERAGE('Control base'!$E$2:$E$101)</f>
        <v>1110.7049999999999</v>
      </c>
      <c r="D9" s="9">
        <f>_xlfn.STDEV.S('Control base'!$E$2:$E$101)</f>
        <v>2.2181243782925582</v>
      </c>
      <c r="E9" s="10">
        <f>COUNT('Control base'!$E$2:$E$101)</f>
        <v>100</v>
      </c>
      <c r="F9" s="8">
        <f t="shared" ref="F9:F16" si="0">z_95*D9/SQRT(E9)</f>
        <v>0.4347523781453414</v>
      </c>
      <c r="G9" s="9">
        <f t="shared" ref="G9:G16" si="1">C9-F9</f>
        <v>1110.2702476218547</v>
      </c>
      <c r="H9" s="9">
        <f t="shared" ref="H9:H16" si="2">C9+F9</f>
        <v>1111.1397523781452</v>
      </c>
    </row>
    <row r="10" spans="1:11" x14ac:dyDescent="0.25">
      <c r="A10" t="s">
        <v>40</v>
      </c>
      <c r="B10" t="s">
        <v>42</v>
      </c>
      <c r="C10" s="9">
        <f>AVERAGE('Control F90'!$E$2:$E$101)</f>
        <v>1064.7160000000001</v>
      </c>
      <c r="D10" s="9">
        <f>_xlfn.STDEV.S('Control F90'!$E$2:$E$101)</f>
        <v>1.9947263805678448</v>
      </c>
      <c r="E10" s="10">
        <f>COUNT('Control F90'!$E$2:$E$101)</f>
        <v>100</v>
      </c>
      <c r="F10" s="9">
        <f t="shared" si="0"/>
        <v>0.39096637059129757</v>
      </c>
      <c r="G10" s="9">
        <f t="shared" si="1"/>
        <v>1064.3250336294088</v>
      </c>
      <c r="H10" s="9">
        <f t="shared" si="2"/>
        <v>1065.1069663705914</v>
      </c>
    </row>
    <row r="11" spans="1:11" x14ac:dyDescent="0.25">
      <c r="A11" t="s">
        <v>40</v>
      </c>
      <c r="B11" t="s">
        <v>43</v>
      </c>
      <c r="C11" s="8">
        <f>AVERAGE('Control F100'!$E$2:$E$101)</f>
        <v>1065.9019999999998</v>
      </c>
      <c r="D11" s="9">
        <f>_xlfn.STDEV.S('Control F100'!$E$2:$E$101)</f>
        <v>2.2134565500569159</v>
      </c>
      <c r="E11" s="10">
        <f>COUNT('Control F100'!$E$2:$E$101)</f>
        <v>100</v>
      </c>
      <c r="F11" s="8">
        <f t="shared" si="0"/>
        <v>0.4338374838111555</v>
      </c>
      <c r="G11" s="9">
        <f t="shared" si="1"/>
        <v>1065.4681625161886</v>
      </c>
      <c r="H11" s="9">
        <f t="shared" si="2"/>
        <v>1066.335837483811</v>
      </c>
    </row>
    <row r="12" spans="1:11" x14ac:dyDescent="0.25">
      <c r="A12" t="s">
        <v>40</v>
      </c>
      <c r="B12" t="s">
        <v>44</v>
      </c>
      <c r="C12" s="9">
        <f>AVERAGE('Control F120'!$E$2:$E$101)</f>
        <v>1067.9059999999999</v>
      </c>
      <c r="D12" s="9">
        <f>_xlfn.STDEV.S('Control F120'!$E$2:$E$101)</f>
        <v>2.1956255867455452</v>
      </c>
      <c r="E12" s="10">
        <f>COUNT('Control F120'!$E$2:$E$101)</f>
        <v>100</v>
      </c>
      <c r="F12" s="9">
        <f t="shared" si="0"/>
        <v>0.43034261500212684</v>
      </c>
      <c r="G12" s="9">
        <f t="shared" si="1"/>
        <v>1067.4756573849979</v>
      </c>
      <c r="H12" s="9">
        <f t="shared" si="2"/>
        <v>1068.336342615002</v>
      </c>
    </row>
    <row r="13" spans="1:11" x14ac:dyDescent="0.25">
      <c r="A13" t="s">
        <v>40</v>
      </c>
      <c r="B13" t="s">
        <v>45</v>
      </c>
      <c r="C13" s="9">
        <f>AVERAGE('Control F150'!$E$2:$E$101)</f>
        <v>1070.8500000000004</v>
      </c>
      <c r="D13" s="9">
        <f>_xlfn.STDEV.S('Control F150'!$E$2:$E$101)</f>
        <v>2.4330427389787013</v>
      </c>
      <c r="E13" s="10">
        <f>COUNT('Control F150'!$E$2:$E$101)</f>
        <v>100</v>
      </c>
      <c r="F13" s="9">
        <f t="shared" si="0"/>
        <v>0.47687637683982542</v>
      </c>
      <c r="G13" s="9">
        <f t="shared" si="1"/>
        <v>1070.3731236231606</v>
      </c>
      <c r="H13" s="9">
        <f t="shared" si="2"/>
        <v>1071.3268763768401</v>
      </c>
    </row>
    <row r="14" spans="1:11" x14ac:dyDescent="0.25">
      <c r="A14" t="s">
        <v>40</v>
      </c>
      <c r="B14" t="s">
        <v>46</v>
      </c>
      <c r="C14" s="9">
        <f>AVERAGE('Control F189'!$E$2:$E$101)</f>
        <v>1074.3340000000001</v>
      </c>
      <c r="D14" s="9">
        <f>_xlfn.STDEV.S('Control F189'!$E$2:$E$101)</f>
        <v>2.089909378925602</v>
      </c>
      <c r="E14" s="10">
        <f>COUNT('Control F189'!$E$2:$E$101)</f>
        <v>100</v>
      </c>
      <c r="F14" s="9">
        <f t="shared" si="0"/>
        <v>0.40962223826941796</v>
      </c>
      <c r="G14" s="9">
        <f t="shared" si="1"/>
        <v>1073.9243777617307</v>
      </c>
      <c r="H14" s="9">
        <f t="shared" si="2"/>
        <v>1074.7436222382694</v>
      </c>
    </row>
    <row r="15" spans="1:11" x14ac:dyDescent="0.25">
      <c r="A15" t="s">
        <v>47</v>
      </c>
      <c r="B15" t="s">
        <v>41</v>
      </c>
      <c r="C15" s="8">
        <f>AVERAGE('AnyLogic sin F'!$D$2:$D$101)</f>
        <v>1110.7919999999992</v>
      </c>
      <c r="D15" s="9">
        <f>_xlfn.STDEV.S('AnyLogic sin F'!$D$2:$D$101)</f>
        <v>2.2747041099621623</v>
      </c>
      <c r="E15" s="10">
        <f>COUNT('AnyLogic sin F'!$D$2:$D$101)</f>
        <v>100</v>
      </c>
      <c r="F15" s="8">
        <f t="shared" si="0"/>
        <v>0.44584200555258385</v>
      </c>
      <c r="G15" s="9">
        <f t="shared" si="1"/>
        <v>1110.3461579944467</v>
      </c>
      <c r="H15" s="9">
        <f t="shared" si="2"/>
        <v>1111.2378420055518</v>
      </c>
    </row>
    <row r="16" spans="1:11" x14ac:dyDescent="0.25">
      <c r="A16" t="s">
        <v>47</v>
      </c>
      <c r="B16" t="s">
        <v>43</v>
      </c>
      <c r="C16" s="8">
        <f>AVERAGE('AnyLogic F100'!$D$2:$D$101)</f>
        <v>1065.4090000000003</v>
      </c>
      <c r="D16" s="9">
        <f>_xlfn.STDEV.S('AnyLogic F100'!$D$2:$D$101)</f>
        <v>1.8858374342139868</v>
      </c>
      <c r="E16" s="10">
        <f>COUNT('AnyLogic F100'!$D$2:$D$101)</f>
        <v>100</v>
      </c>
      <c r="F16" s="8">
        <f t="shared" si="0"/>
        <v>0.36962413710594139</v>
      </c>
      <c r="G16" s="9">
        <f t="shared" si="1"/>
        <v>1065.0393758628943</v>
      </c>
      <c r="H16" s="9">
        <f t="shared" si="2"/>
        <v>1065.7786241371064</v>
      </c>
    </row>
    <row r="18" spans="1:8" ht="17.25" x14ac:dyDescent="0.3">
      <c r="A18" s="4" t="s">
        <v>48</v>
      </c>
    </row>
    <row r="19" spans="1:8" x14ac:dyDescent="0.25">
      <c r="A19" s="7" t="s">
        <v>32</v>
      </c>
      <c r="B19" s="7" t="s">
        <v>33</v>
      </c>
      <c r="C19" s="7" t="s">
        <v>34</v>
      </c>
      <c r="D19" s="7" t="s">
        <v>35</v>
      </c>
      <c r="E19" s="7" t="s">
        <v>36</v>
      </c>
      <c r="F19" s="7" t="s">
        <v>37</v>
      </c>
      <c r="G19" s="7" t="s">
        <v>38</v>
      </c>
      <c r="H19" s="7" t="s">
        <v>39</v>
      </c>
    </row>
    <row r="20" spans="1:8" x14ac:dyDescent="0.25">
      <c r="A20" t="s">
        <v>40</v>
      </c>
      <c r="B20" t="s">
        <v>41</v>
      </c>
      <c r="C20" s="8">
        <f>AVERAGE('Control base'!$F$2:$F$101)</f>
        <v>188.50300000000007</v>
      </c>
      <c r="D20" s="9">
        <f>_xlfn.STDEV.S('Control base'!$F$2:$F$101)</f>
        <v>2.1181016371870682</v>
      </c>
      <c r="E20" s="10">
        <f>COUNT('Control base'!$F$2:$F$101)</f>
        <v>100</v>
      </c>
      <c r="F20" s="8">
        <f t="shared" ref="F20:F27" si="3">z_95*D20/SQRT(E20)</f>
        <v>0.41514792088866537</v>
      </c>
      <c r="G20" s="9">
        <f t="shared" ref="G20:G27" si="4">C20-F20</f>
        <v>188.0878520791114</v>
      </c>
      <c r="H20" s="9">
        <f t="shared" ref="H20:H27" si="5">C20+F20</f>
        <v>188.91814792088874</v>
      </c>
    </row>
    <row r="21" spans="1:8" x14ac:dyDescent="0.25">
      <c r="A21" t="s">
        <v>40</v>
      </c>
      <c r="B21" t="s">
        <v>42</v>
      </c>
      <c r="C21" s="9">
        <f>AVERAGE('Control F90'!$F$2:$F$101)</f>
        <v>175.75200000000004</v>
      </c>
      <c r="D21" s="9">
        <f>_xlfn.STDEV.S('Control F90'!$F$2:$F$101)</f>
        <v>2.028059728564783</v>
      </c>
      <c r="E21" s="10">
        <f>COUNT('Control F90'!$F$2:$F$101)</f>
        <v>100</v>
      </c>
      <c r="F21" s="9">
        <f t="shared" si="3"/>
        <v>0.39749970679869751</v>
      </c>
      <c r="G21" s="9">
        <f t="shared" si="4"/>
        <v>175.35450029320134</v>
      </c>
      <c r="H21" s="9">
        <f t="shared" si="5"/>
        <v>176.14949970679874</v>
      </c>
    </row>
    <row r="22" spans="1:8" x14ac:dyDescent="0.25">
      <c r="A22" t="s">
        <v>40</v>
      </c>
      <c r="B22" t="s">
        <v>43</v>
      </c>
      <c r="C22" s="8">
        <f>AVERAGE('Control F100'!$F$2:$F$101)</f>
        <v>176.88499999999988</v>
      </c>
      <c r="D22" s="9">
        <f>_xlfn.STDEV.S('Control F100'!$F$2:$F$101)</f>
        <v>2.1435067557908956</v>
      </c>
      <c r="E22" s="10">
        <f>COUNT('Control F100'!$F$2:$F$101)</f>
        <v>100</v>
      </c>
      <c r="F22" s="8">
        <f t="shared" si="3"/>
        <v>0.42012732413501552</v>
      </c>
      <c r="G22" s="9">
        <f t="shared" si="4"/>
        <v>176.46487267586485</v>
      </c>
      <c r="H22" s="9">
        <f t="shared" si="5"/>
        <v>177.3051273241349</v>
      </c>
    </row>
    <row r="23" spans="1:8" x14ac:dyDescent="0.25">
      <c r="A23" t="s">
        <v>40</v>
      </c>
      <c r="B23" t="s">
        <v>44</v>
      </c>
      <c r="C23" s="9">
        <f>AVERAGE('Control F120'!$F$2:$F$101)</f>
        <v>178.93099999999995</v>
      </c>
      <c r="D23" s="9">
        <f>_xlfn.STDEV.S('Control F120'!$F$2:$F$101)</f>
        <v>2.235195740869242</v>
      </c>
      <c r="E23" s="10">
        <f>COUNT('Control F120'!$F$2:$F$101)</f>
        <v>100</v>
      </c>
      <c r="F23" s="9">
        <f t="shared" si="3"/>
        <v>0.43809836521037149</v>
      </c>
      <c r="G23" s="9">
        <f t="shared" si="4"/>
        <v>178.49290163478958</v>
      </c>
      <c r="H23" s="9">
        <f t="shared" si="5"/>
        <v>179.36909836521033</v>
      </c>
    </row>
    <row r="24" spans="1:8" x14ac:dyDescent="0.25">
      <c r="A24" t="s">
        <v>40</v>
      </c>
      <c r="B24" t="s">
        <v>45</v>
      </c>
      <c r="C24" s="9">
        <f>AVERAGE('Control F150'!$F$2:$F$101)</f>
        <v>181.86399999999992</v>
      </c>
      <c r="D24" s="9">
        <f>_xlfn.STDEV.S('Control F150'!$F$2:$F$101)</f>
        <v>2.37816328414611</v>
      </c>
      <c r="E24" s="10">
        <f>COUNT('Control F150'!$F$2:$F$101)</f>
        <v>100</v>
      </c>
      <c r="F24" s="9">
        <f t="shared" si="3"/>
        <v>0.46612000369263756</v>
      </c>
      <c r="G24" s="9">
        <f t="shared" si="4"/>
        <v>181.39787999630727</v>
      </c>
      <c r="H24" s="9">
        <f t="shared" si="5"/>
        <v>182.33012000369257</v>
      </c>
    </row>
    <row r="25" spans="1:8" x14ac:dyDescent="0.25">
      <c r="A25" t="s">
        <v>40</v>
      </c>
      <c r="B25" t="s">
        <v>46</v>
      </c>
      <c r="C25" s="9">
        <f>AVERAGE('Control F189'!$F$2:$F$101)</f>
        <v>185.30900000000005</v>
      </c>
      <c r="D25" s="9">
        <f>_xlfn.STDEV.S('Control F189'!$F$2:$F$101)</f>
        <v>2.0701385792680016</v>
      </c>
      <c r="E25" s="10">
        <f>COUNT('Control F189'!$F$2:$F$101)</f>
        <v>100</v>
      </c>
      <c r="F25" s="9">
        <f t="shared" si="3"/>
        <v>0.40574716153652829</v>
      </c>
      <c r="G25" s="9">
        <f t="shared" si="4"/>
        <v>184.90325283846352</v>
      </c>
      <c r="H25" s="9">
        <f t="shared" si="5"/>
        <v>185.71474716153659</v>
      </c>
    </row>
    <row r="26" spans="1:8" x14ac:dyDescent="0.25">
      <c r="A26" t="s">
        <v>47</v>
      </c>
      <c r="B26" t="s">
        <v>41</v>
      </c>
      <c r="C26" s="8">
        <f>AVERAGE('AnyLogic sin F'!$E$2:$E$101)</f>
        <v>188.50100000000003</v>
      </c>
      <c r="D26" s="9">
        <f>_xlfn.STDEV.S('AnyLogic sin F'!$E$2:$E$101)</f>
        <v>2.2096434650015935</v>
      </c>
      <c r="E26" s="10">
        <f>COUNT('AnyLogic sin F'!$E$2:$E$101)</f>
        <v>100</v>
      </c>
      <c r="F26" s="8">
        <f t="shared" si="3"/>
        <v>0.43309011914031237</v>
      </c>
      <c r="G26" s="9">
        <f t="shared" si="4"/>
        <v>188.06790988085973</v>
      </c>
      <c r="H26" s="9">
        <f t="shared" si="5"/>
        <v>188.93409011914034</v>
      </c>
    </row>
    <row r="27" spans="1:8" x14ac:dyDescent="0.25">
      <c r="A27" t="s">
        <v>47</v>
      </c>
      <c r="B27" t="s">
        <v>43</v>
      </c>
      <c r="C27" s="8">
        <f>AVERAGE('AnyLogic F100'!$E$2:$E$101)</f>
        <v>176.50299999999996</v>
      </c>
      <c r="D27" s="9">
        <f>_xlfn.STDEV.S('AnyLogic F100'!$E$2:$E$101)</f>
        <v>1.8407538530381375</v>
      </c>
      <c r="E27" s="10">
        <f>COUNT('AnyLogic F100'!$E$2:$E$101)</f>
        <v>100</v>
      </c>
      <c r="F27" s="8">
        <f t="shared" si="3"/>
        <v>0.36078775519547496</v>
      </c>
      <c r="G27" s="9">
        <f t="shared" si="4"/>
        <v>176.14221224480448</v>
      </c>
      <c r="H27" s="9">
        <f t="shared" si="5"/>
        <v>176.86378775519543</v>
      </c>
    </row>
    <row r="29" spans="1:8" ht="17.25" x14ac:dyDescent="0.3">
      <c r="A29" s="4" t="s">
        <v>49</v>
      </c>
    </row>
    <row r="30" spans="1:8" x14ac:dyDescent="0.25">
      <c r="A30" s="7" t="s">
        <v>32</v>
      </c>
      <c r="B30" s="7" t="s">
        <v>33</v>
      </c>
      <c r="C30" s="7" t="s">
        <v>34</v>
      </c>
      <c r="D30" s="7" t="s">
        <v>35</v>
      </c>
      <c r="E30" s="7" t="s">
        <v>36</v>
      </c>
      <c r="F30" s="7" t="s">
        <v>37</v>
      </c>
      <c r="G30" s="7" t="s">
        <v>38</v>
      </c>
      <c r="H30" s="7" t="s">
        <v>39</v>
      </c>
    </row>
    <row r="31" spans="1:8" x14ac:dyDescent="0.25">
      <c r="A31" t="s">
        <v>40</v>
      </c>
      <c r="B31" t="s">
        <v>41</v>
      </c>
      <c r="C31" s="11">
        <f>AVERAGE('Control base'!$G$2:$G$101)</f>
        <v>1.4427070000000004</v>
      </c>
      <c r="D31" s="11">
        <f>_xlfn.STDEV.S('Control base'!$G$2:$G$101)</f>
        <v>5.8331255374246486E-4</v>
      </c>
      <c r="E31" s="10">
        <f>COUNT('Control base'!$G$2:$G$101)</f>
        <v>100</v>
      </c>
      <c r="F31" s="11">
        <f t="shared" ref="F31:F38" si="6">z_95*D31/SQRT(E31)</f>
        <v>1.1432926053352311E-4</v>
      </c>
      <c r="G31" s="11">
        <f t="shared" ref="G31:G38" si="7">C31-F31</f>
        <v>1.442592670739467</v>
      </c>
      <c r="H31" s="11">
        <f t="shared" ref="H31:H38" si="8">C31+F31</f>
        <v>1.4428213292605339</v>
      </c>
    </row>
    <row r="32" spans="1:8" x14ac:dyDescent="0.25">
      <c r="A32" t="s">
        <v>40</v>
      </c>
      <c r="B32" t="s">
        <v>42</v>
      </c>
      <c r="C32" s="11">
        <f>AVERAGE('Control F90'!$G$2:$G$101)</f>
        <v>1.4656759999999993</v>
      </c>
      <c r="D32" s="11">
        <f>_xlfn.STDEV.S('Control F90'!$G$2:$G$101)</f>
        <v>6.0605030294270436E-4</v>
      </c>
      <c r="E32" s="10">
        <f>COUNT('Control F90'!$G$2:$G$101)</f>
        <v>100</v>
      </c>
      <c r="F32" s="11">
        <f t="shared" si="6"/>
        <v>1.1878585937677006E-4</v>
      </c>
      <c r="G32" s="11">
        <f t="shared" si="7"/>
        <v>1.4655572141406226</v>
      </c>
      <c r="H32" s="11">
        <f t="shared" si="8"/>
        <v>1.4657947858593761</v>
      </c>
    </row>
    <row r="33" spans="1:11" x14ac:dyDescent="0.25">
      <c r="A33" t="s">
        <v>40</v>
      </c>
      <c r="B33" t="s">
        <v>43</v>
      </c>
      <c r="C33" s="11">
        <f>AVERAGE('Control F100'!$G$2:$G$101)</f>
        <v>1.4657409999999995</v>
      </c>
      <c r="D33" s="11">
        <f>_xlfn.STDEV.S('Control F100'!$G$2:$G$101)</f>
        <v>6.4103688102032537E-4</v>
      </c>
      <c r="E33" s="10">
        <f>COUNT('Control F100'!$G$2:$G$101)</f>
        <v>100</v>
      </c>
      <c r="F33" s="11">
        <f t="shared" si="6"/>
        <v>1.2564322867998377E-4</v>
      </c>
      <c r="G33" s="11">
        <f t="shared" si="7"/>
        <v>1.4656153567713195</v>
      </c>
      <c r="H33" s="11">
        <f t="shared" si="8"/>
        <v>1.4658666432286795</v>
      </c>
    </row>
    <row r="34" spans="1:11" x14ac:dyDescent="0.25">
      <c r="A34" t="s">
        <v>40</v>
      </c>
      <c r="B34" t="s">
        <v>44</v>
      </c>
      <c r="C34" s="11">
        <f>AVERAGE('Control F120'!$G$2:$G$101)</f>
        <v>1.465699000000001</v>
      </c>
      <c r="D34" s="11">
        <f>_xlfn.STDEV.S('Control F120'!$G$2:$G$101)</f>
        <v>6.0243529347826796E-4</v>
      </c>
      <c r="E34" s="10">
        <f>COUNT('Control F120'!$G$2:$G$101)</f>
        <v>100</v>
      </c>
      <c r="F34" s="11">
        <f t="shared" si="6"/>
        <v>1.1807731752174052E-4</v>
      </c>
      <c r="G34" s="11">
        <f t="shared" si="7"/>
        <v>1.4655809226824792</v>
      </c>
      <c r="H34" s="11">
        <f t="shared" si="8"/>
        <v>1.4658170773175228</v>
      </c>
    </row>
    <row r="35" spans="1:11" x14ac:dyDescent="0.25">
      <c r="A35" t="s">
        <v>40</v>
      </c>
      <c r="B35" t="s">
        <v>45</v>
      </c>
      <c r="C35" s="11">
        <f>AVERAGE('Control F150'!$G$2:$G$101)</f>
        <v>1.4638459999999998</v>
      </c>
      <c r="D35" s="11">
        <f>_xlfn.STDEV.S('Control F150'!$G$2:$G$101)</f>
        <v>5.7426633035708862E-4</v>
      </c>
      <c r="E35" s="10">
        <f>COUNT('Control F150'!$G$2:$G$101)</f>
        <v>100</v>
      </c>
      <c r="F35" s="11">
        <f t="shared" si="6"/>
        <v>1.1255620074998936E-4</v>
      </c>
      <c r="G35" s="11">
        <f t="shared" si="7"/>
        <v>1.4637334437992497</v>
      </c>
      <c r="H35" s="11">
        <f t="shared" si="8"/>
        <v>1.4639585562007498</v>
      </c>
    </row>
    <row r="36" spans="1:11" x14ac:dyDescent="0.25">
      <c r="A36" t="s">
        <v>40</v>
      </c>
      <c r="B36" t="s">
        <v>46</v>
      </c>
      <c r="C36" s="11">
        <f>AVERAGE('Control F189'!$G$2:$G$101)</f>
        <v>1.463136</v>
      </c>
      <c r="D36" s="11">
        <f>_xlfn.STDEV.S('Control F189'!$G$2:$G$101)</f>
        <v>6.9231276869416111E-4</v>
      </c>
      <c r="E36" s="10">
        <f>COUNT('Control F189'!$G$2:$G$101)</f>
        <v>100</v>
      </c>
      <c r="F36" s="11">
        <f t="shared" si="6"/>
        <v>1.3569330266405556E-4</v>
      </c>
      <c r="G36" s="11">
        <f t="shared" si="7"/>
        <v>1.4630003066973358</v>
      </c>
      <c r="H36" s="11">
        <f t="shared" si="8"/>
        <v>1.4632716933026642</v>
      </c>
    </row>
    <row r="37" spans="1:11" x14ac:dyDescent="0.25">
      <c r="A37" t="s">
        <v>47</v>
      </c>
      <c r="B37" t="s">
        <v>41</v>
      </c>
      <c r="C37" s="11">
        <f>AVERAGE('AnyLogic sin F'!$F$2:$F$101)</f>
        <v>1.4426419999999995</v>
      </c>
      <c r="D37" s="11">
        <f>_xlfn.STDEV.S('AnyLogic sin F'!$F$2:$F$101)</f>
        <v>6.1761679466359163E-4</v>
      </c>
      <c r="E37" s="10">
        <f>COUNT('AnyLogic sin F'!$F$2:$F$101)</f>
        <v>100</v>
      </c>
      <c r="F37" s="11">
        <f t="shared" si="6"/>
        <v>1.2105289175406396E-4</v>
      </c>
      <c r="G37" s="11">
        <f t="shared" si="7"/>
        <v>1.4425209471082454</v>
      </c>
      <c r="H37" s="11">
        <f t="shared" si="8"/>
        <v>1.4427630528917537</v>
      </c>
    </row>
    <row r="38" spans="1:11" x14ac:dyDescent="0.25">
      <c r="A38" t="s">
        <v>47</v>
      </c>
      <c r="B38" t="s">
        <v>43</v>
      </c>
      <c r="C38" s="11">
        <f>AVERAGE('AnyLogic F100'!$F$2:$F$101)</f>
        <v>1.465557</v>
      </c>
      <c r="D38" s="11">
        <f>_xlfn.STDEV.S('AnyLogic F100'!$F$2:$F$101)</f>
        <v>6.5647589907062947E-4</v>
      </c>
      <c r="E38" s="10">
        <f>COUNT('AnyLogic F100'!$F$2:$F$101)</f>
        <v>100</v>
      </c>
      <c r="F38" s="11">
        <f t="shared" si="6"/>
        <v>1.2866927621784337E-4</v>
      </c>
      <c r="G38" s="11">
        <f t="shared" si="7"/>
        <v>1.4654283307237821</v>
      </c>
      <c r="H38" s="11">
        <f t="shared" si="8"/>
        <v>1.4656856692762179</v>
      </c>
    </row>
    <row r="40" spans="1:11" ht="17.25" x14ac:dyDescent="0.3">
      <c r="A40" s="4" t="s">
        <v>50</v>
      </c>
    </row>
    <row r="41" spans="1:11" ht="45" x14ac:dyDescent="0.25">
      <c r="A41" s="7" t="s">
        <v>32</v>
      </c>
      <c r="B41" s="7" t="s">
        <v>33</v>
      </c>
      <c r="C41" s="7" t="s">
        <v>34</v>
      </c>
      <c r="D41" s="7" t="s">
        <v>51</v>
      </c>
      <c r="E41" s="7" t="s">
        <v>36</v>
      </c>
      <c r="F41" s="7" t="s">
        <v>37</v>
      </c>
      <c r="G41" s="7" t="s">
        <v>38</v>
      </c>
      <c r="H41" s="7" t="s">
        <v>39</v>
      </c>
      <c r="I41" s="7" t="s">
        <v>52</v>
      </c>
      <c r="J41" s="7" t="s">
        <v>53</v>
      </c>
      <c r="K41" s="7" t="s">
        <v>54</v>
      </c>
    </row>
    <row r="42" spans="1:11" x14ac:dyDescent="0.25">
      <c r="A42" t="s">
        <v>40</v>
      </c>
      <c r="B42" t="s">
        <v>41</v>
      </c>
      <c r="C42" s="12">
        <v>12435.8</v>
      </c>
      <c r="D42" s="9">
        <v>325.68</v>
      </c>
      <c r="E42" s="10">
        <v>100</v>
      </c>
      <c r="F42" s="12">
        <f t="shared" ref="F42:F47" si="9">z_95*D42/SQRT(E42)</f>
        <v>63.833280000000002</v>
      </c>
      <c r="G42" s="13">
        <f t="shared" ref="G42:G47" si="10">C42-F42</f>
        <v>12371.966719999999</v>
      </c>
      <c r="H42" s="13">
        <f t="shared" ref="H42:H47" si="11">C42+F42</f>
        <v>12499.63328</v>
      </c>
      <c r="I42" t="s">
        <v>55</v>
      </c>
      <c r="K42" t="s">
        <v>56</v>
      </c>
    </row>
    <row r="43" spans="1:11" x14ac:dyDescent="0.25">
      <c r="A43" t="s">
        <v>40</v>
      </c>
      <c r="B43" t="s">
        <v>42</v>
      </c>
      <c r="C43" s="13">
        <v>5624.87</v>
      </c>
      <c r="D43" s="9">
        <v>146.44999999999999</v>
      </c>
      <c r="E43" s="10">
        <v>100</v>
      </c>
      <c r="F43" s="13">
        <f t="shared" si="9"/>
        <v>28.704199999999997</v>
      </c>
      <c r="G43" s="13">
        <f t="shared" si="10"/>
        <v>5596.1657999999998</v>
      </c>
      <c r="H43" s="13">
        <f t="shared" si="11"/>
        <v>5653.5742</v>
      </c>
      <c r="I43" s="14">
        <f>100*(C43/C$42-1)</f>
        <v>-54.768732208623483</v>
      </c>
      <c r="J43" s="14">
        <f>100*z_95*(C43/C$42)*SQRT((D43/C43)^2/E43+(D$42/C$42)^2/E$42)</f>
        <v>0.32738642583771305</v>
      </c>
      <c r="K43" t="s">
        <v>56</v>
      </c>
    </row>
    <row r="44" spans="1:11" x14ac:dyDescent="0.25">
      <c r="A44" t="s">
        <v>40</v>
      </c>
      <c r="B44" t="s">
        <v>43</v>
      </c>
      <c r="C44" s="12">
        <v>5639.3</v>
      </c>
      <c r="D44" s="9">
        <v>186.52</v>
      </c>
      <c r="E44" s="10">
        <v>100</v>
      </c>
      <c r="F44" s="12">
        <f t="shared" si="9"/>
        <v>36.557920000000003</v>
      </c>
      <c r="G44" s="13">
        <f t="shared" si="10"/>
        <v>5602.74208</v>
      </c>
      <c r="H44" s="13">
        <f t="shared" si="11"/>
        <v>5675.8579200000004</v>
      </c>
      <c r="I44" s="15">
        <f>100*(C44/C$42-1)</f>
        <v>-54.65269624792937</v>
      </c>
      <c r="J44" s="15">
        <f>100*z_95*(C44/C$42)*SQRT((D44/C44)^2/E44+(D$42/C$42)^2/E$42)</f>
        <v>0.37496879045795317</v>
      </c>
      <c r="K44" t="s">
        <v>56</v>
      </c>
    </row>
    <row r="45" spans="1:11" x14ac:dyDescent="0.25">
      <c r="A45" t="s">
        <v>40</v>
      </c>
      <c r="B45" t="s">
        <v>44</v>
      </c>
      <c r="C45" s="13">
        <v>5661.91</v>
      </c>
      <c r="D45" s="9">
        <v>140.88999999999999</v>
      </c>
      <c r="E45" s="10">
        <v>100</v>
      </c>
      <c r="F45" s="13">
        <f t="shared" si="9"/>
        <v>27.614439999999995</v>
      </c>
      <c r="G45" s="13">
        <f t="shared" si="10"/>
        <v>5634.2955599999996</v>
      </c>
      <c r="H45" s="13">
        <f t="shared" si="11"/>
        <v>5689.5244400000001</v>
      </c>
      <c r="I45" s="14">
        <f>100*(C45/C$42-1)</f>
        <v>-54.470882452274886</v>
      </c>
      <c r="J45" s="14">
        <f>100*z_95*(C45/C$42)*SQRT((D45/C45)^2/E45+(D$42/C$42)^2/E$42)</f>
        <v>0.32237486105438928</v>
      </c>
      <c r="K45" t="s">
        <v>56</v>
      </c>
    </row>
    <row r="46" spans="1:11" x14ac:dyDescent="0.25">
      <c r="A46" t="s">
        <v>40</v>
      </c>
      <c r="B46" t="s">
        <v>45</v>
      </c>
      <c r="C46" s="13">
        <v>5663.14</v>
      </c>
      <c r="D46" s="9">
        <v>155</v>
      </c>
      <c r="E46" s="10">
        <v>100</v>
      </c>
      <c r="F46" s="13">
        <f t="shared" si="9"/>
        <v>30.380000000000003</v>
      </c>
      <c r="G46" s="13">
        <f t="shared" si="10"/>
        <v>5632.76</v>
      </c>
      <c r="H46" s="13">
        <f t="shared" si="11"/>
        <v>5693.52</v>
      </c>
      <c r="I46" s="14">
        <f>100*(C46/C$42-1)</f>
        <v>-54.460991653130478</v>
      </c>
      <c r="J46" s="14">
        <f>100*z_95*(C46/C$42)*SQRT((D46/C46)^2/E46+(D$42/C$42)^2/E$42)</f>
        <v>0.33811287449258409</v>
      </c>
      <c r="K46" t="s">
        <v>56</v>
      </c>
    </row>
    <row r="47" spans="1:11" x14ac:dyDescent="0.25">
      <c r="A47" t="s">
        <v>40</v>
      </c>
      <c r="B47" t="s">
        <v>46</v>
      </c>
      <c r="C47" s="13">
        <v>5640.29</v>
      </c>
      <c r="D47" s="9">
        <v>157.44</v>
      </c>
      <c r="E47" s="10">
        <v>100</v>
      </c>
      <c r="F47" s="13">
        <f t="shared" si="9"/>
        <v>30.858240000000002</v>
      </c>
      <c r="G47" s="13">
        <f t="shared" si="10"/>
        <v>5609.4317600000004</v>
      </c>
      <c r="H47" s="13">
        <f t="shared" si="11"/>
        <v>5671.1482399999995</v>
      </c>
      <c r="I47" s="14">
        <f>100*(C47/C$42-1)</f>
        <v>-54.644735360813137</v>
      </c>
      <c r="J47" s="14">
        <f>100*z_95*(C47/C$42)*SQRT((D47/C47)^2/E47+(D$42/C$42)^2/E$42)</f>
        <v>0.34025580903330427</v>
      </c>
      <c r="K47" t="s">
        <v>56</v>
      </c>
    </row>
    <row r="48" spans="1:11" x14ac:dyDescent="0.25">
      <c r="A48" t="s">
        <v>47</v>
      </c>
      <c r="B48" t="s">
        <v>41</v>
      </c>
      <c r="C48" s="13">
        <f>IF(COUNT('AnyLogic sin F'!$S$2:$S$101)&lt;2,"",AVERAGE('AnyLogic sin F'!$S$2:$S$101))</f>
        <v>12463.45</v>
      </c>
      <c r="D48" s="9">
        <f>IF(COUNT('AnyLogic sin F'!$S$2:$S$101)&lt;2,"",_xlfn.STDEV.S('AnyLogic sin F'!$S$2:$S$101))</f>
        <v>281.48894787855841</v>
      </c>
      <c r="E48" s="10">
        <f>IF(COUNT('AnyLogic sin F'!$S$2:$S$101)&lt;2,"",COUNT('AnyLogic sin F'!$S$2:$S$101))</f>
        <v>100</v>
      </c>
      <c r="F48" s="13">
        <f>IF(C48="","",z_95*D48/SQRT(E48))</f>
        <v>55.171833784197453</v>
      </c>
      <c r="G48" s="13">
        <f>IF(C48="","",C48-F48)</f>
        <v>12408.278166215803</v>
      </c>
      <c r="H48" s="13">
        <f>IF(C48="","",C48+F48)</f>
        <v>12518.621833784198</v>
      </c>
      <c r="K48" t="s">
        <v>57</v>
      </c>
    </row>
    <row r="49" spans="1:11" x14ac:dyDescent="0.25">
      <c r="A49" t="s">
        <v>47</v>
      </c>
      <c r="B49" t="s">
        <v>43</v>
      </c>
      <c r="C49" s="13">
        <f>IF(COUNT('AnyLogic F100'!$T$2:$T$101)&lt;2,"",AVERAGE('AnyLogic F100'!$T$2:$T$101))</f>
        <v>5693.8</v>
      </c>
      <c r="D49" s="9">
        <f>IF(COUNT('AnyLogic F100'!$T$2:$T$101)&lt;2,"",_xlfn.STDEV.S('AnyLogic F100'!$T$2:$T$101))</f>
        <v>138.25923535741171</v>
      </c>
      <c r="E49" s="10">
        <f>IF(COUNT('AnyLogic F100'!$T$2:$T$101)&lt;2,"",COUNT('AnyLogic F100'!$T$2:$T$101))</f>
        <v>100</v>
      </c>
      <c r="F49" s="13">
        <f>IF(C49="","",z_95*D49/SQRT(E49))</f>
        <v>27.098810130052691</v>
      </c>
      <c r="G49" s="13">
        <f>IF(C49="","",C49-F49)</f>
        <v>5666.7011898699475</v>
      </c>
      <c r="H49" s="13">
        <f>IF(C49="","",C49+F49)</f>
        <v>5720.8988101300529</v>
      </c>
      <c r="I49" s="14">
        <f>IF(OR(C49="",C$48=""),"",100*(C49/C$48-1))</f>
        <v>-54.316020042604585</v>
      </c>
      <c r="J49" s="14">
        <f>IF(OR(C49="",C$48=""),"",100*z_95*(C49/C$48)*SQRT((D49/C49)^2/E49+(D$48/C$48)^2/E$48))</f>
        <v>0.29693546221563205</v>
      </c>
      <c r="K49" t="s">
        <v>57</v>
      </c>
    </row>
    <row r="51" spans="1:11" ht="17.25" x14ac:dyDescent="0.3">
      <c r="A51" s="4" t="s">
        <v>58</v>
      </c>
    </row>
    <row r="52" spans="1:11" ht="30" x14ac:dyDescent="0.25">
      <c r="A52" s="7" t="s">
        <v>32</v>
      </c>
      <c r="B52" s="7" t="s">
        <v>33</v>
      </c>
      <c r="C52" s="7" t="s">
        <v>34</v>
      </c>
      <c r="D52" s="7" t="s">
        <v>51</v>
      </c>
      <c r="E52" s="7" t="s">
        <v>36</v>
      </c>
      <c r="F52" s="7" t="s">
        <v>37</v>
      </c>
      <c r="G52" s="7" t="s">
        <v>38</v>
      </c>
      <c r="H52" s="7" t="s">
        <v>39</v>
      </c>
      <c r="I52" s="7"/>
      <c r="J52" s="7"/>
      <c r="K52" s="7" t="s">
        <v>54</v>
      </c>
    </row>
    <row r="53" spans="1:11" x14ac:dyDescent="0.25">
      <c r="A53" t="s">
        <v>40</v>
      </c>
      <c r="B53" t="s">
        <v>42</v>
      </c>
      <c r="C53" s="13">
        <v>8107.23</v>
      </c>
      <c r="D53" s="9">
        <v>103.45</v>
      </c>
      <c r="E53" s="10">
        <v>100</v>
      </c>
      <c r="F53" s="13">
        <f>z_95*D53/SQRT(E53)</f>
        <v>20.276199999999999</v>
      </c>
      <c r="G53" s="13">
        <f>C53-F53</f>
        <v>8086.9537999999993</v>
      </c>
      <c r="H53" s="13">
        <f>C53+F53</f>
        <v>8127.5061999999998</v>
      </c>
      <c r="K53" t="s">
        <v>59</v>
      </c>
    </row>
    <row r="54" spans="1:11" x14ac:dyDescent="0.25">
      <c r="A54" t="s">
        <v>40</v>
      </c>
      <c r="B54" t="s">
        <v>43</v>
      </c>
      <c r="C54" s="13">
        <v>8134.37</v>
      </c>
      <c r="D54" s="9">
        <v>84.53</v>
      </c>
      <c r="E54" s="10">
        <v>100</v>
      </c>
      <c r="F54" s="13">
        <f>z_95*D54/SQRT(E54)</f>
        <v>16.567879999999999</v>
      </c>
      <c r="G54" s="13">
        <f>C54-F54</f>
        <v>8117.8021200000003</v>
      </c>
      <c r="H54" s="13">
        <f>C54+F54</f>
        <v>8150.9378799999995</v>
      </c>
      <c r="K54" t="s">
        <v>59</v>
      </c>
    </row>
    <row r="55" spans="1:11" x14ac:dyDescent="0.25">
      <c r="A55" t="s">
        <v>40</v>
      </c>
      <c r="B55" t="s">
        <v>44</v>
      </c>
      <c r="C55" s="13">
        <v>8113.92</v>
      </c>
      <c r="D55" s="9">
        <v>86.86</v>
      </c>
      <c r="E55" s="10">
        <v>100</v>
      </c>
      <c r="F55" s="13">
        <f>z_95*D55/SQRT(E55)</f>
        <v>17.024560000000001</v>
      </c>
      <c r="G55" s="13">
        <f>C55-F55</f>
        <v>8096.8954400000002</v>
      </c>
      <c r="H55" s="13">
        <f>C55+F55</f>
        <v>8130.9445599999999</v>
      </c>
      <c r="K55" t="s">
        <v>59</v>
      </c>
    </row>
    <row r="56" spans="1:11" x14ac:dyDescent="0.25">
      <c r="A56" t="s">
        <v>40</v>
      </c>
      <c r="B56" t="s">
        <v>45</v>
      </c>
      <c r="C56" s="13">
        <v>8139.9</v>
      </c>
      <c r="D56" s="9">
        <v>102.63</v>
      </c>
      <c r="E56" s="10">
        <v>100</v>
      </c>
      <c r="F56" s="13">
        <f>z_95*D56/SQRT(E56)</f>
        <v>20.115479999999998</v>
      </c>
      <c r="G56" s="13">
        <f>C56-F56</f>
        <v>8119.7845199999992</v>
      </c>
      <c r="H56" s="13">
        <f>C56+F56</f>
        <v>8160.01548</v>
      </c>
      <c r="K56" t="s">
        <v>59</v>
      </c>
    </row>
    <row r="57" spans="1:11" x14ac:dyDescent="0.25">
      <c r="A57" t="s">
        <v>40</v>
      </c>
      <c r="B57" t="s">
        <v>46</v>
      </c>
      <c r="C57" s="13">
        <v>8056.98</v>
      </c>
      <c r="D57" s="9">
        <v>84.1</v>
      </c>
      <c r="E57" s="10">
        <v>100</v>
      </c>
      <c r="F57" s="13">
        <f>z_95*D57/SQRT(E57)</f>
        <v>16.483599999999999</v>
      </c>
      <c r="G57" s="13">
        <f>C57-F57</f>
        <v>8040.4964</v>
      </c>
      <c r="H57" s="13">
        <f>C57+F57</f>
        <v>8073.4635999999991</v>
      </c>
      <c r="K57" t="s">
        <v>59</v>
      </c>
    </row>
    <row r="58" spans="1:11" x14ac:dyDescent="0.25">
      <c r="A58" t="s">
        <v>47</v>
      </c>
      <c r="B58" t="s">
        <v>43</v>
      </c>
      <c r="C58" s="13">
        <f>IF(COUNT('AnyLogic F100'!$U$2:$U$101)&lt;2,"",AVERAGE('AnyLogic F100'!$U$2:$U$101))</f>
        <v>8130.22</v>
      </c>
      <c r="D58" s="9">
        <f>IF(COUNT('AnyLogic F100'!$U$2:$U$101)&lt;2,"",_xlfn.STDEV.S('AnyLogic F100'!$U$2:$U$101))</f>
        <v>96.765840454097628</v>
      </c>
      <c r="E58" s="10">
        <f>IF(COUNT('AnyLogic F100'!$U$2:$U$101)&lt;2,"",COUNT('AnyLogic F100'!$U$2:$U$101))</f>
        <v>100</v>
      </c>
      <c r="F58" s="13">
        <f>IF(C58="","",z_95*D58/SQRT(E58))</f>
        <v>18.966104729003135</v>
      </c>
      <c r="G58" s="13">
        <f>IF(C58="","",C58-F58)</f>
        <v>8111.2538952709974</v>
      </c>
      <c r="H58" s="13">
        <f>IF(C58="","",C58+F58)</f>
        <v>8149.1861047290031</v>
      </c>
      <c r="K58" t="s">
        <v>57</v>
      </c>
    </row>
  </sheetData>
  <mergeCells count="2">
    <mergeCell ref="A2:K2"/>
    <mergeCell ref="A3:K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1"/>
  <sheetViews>
    <sheetView workbookViewId="0">
      <pane ySplit="1" topLeftCell="A2" activePane="bottomLeft" state="frozen"/>
      <selection pane="bottomLeft"/>
    </sheetView>
  </sheetViews>
  <sheetFormatPr baseColWidth="10" defaultColWidth="9.140625" defaultRowHeight="15" x14ac:dyDescent="0.25"/>
  <cols>
    <col min="1" max="1" width="9" customWidth="1"/>
    <col min="2" max="3" width="12" customWidth="1"/>
    <col min="4" max="4" width="13" customWidth="1"/>
    <col min="5" max="6" width="12" customWidth="1"/>
    <col min="7" max="7" width="13" customWidth="1"/>
    <col min="8" max="8" width="3" customWidth="1"/>
    <col min="9" max="9" width="30" customWidth="1"/>
    <col min="10" max="19" width="13" customWidth="1"/>
  </cols>
  <sheetData>
    <row r="1" spans="1:19" ht="32.1" customHeight="1" x14ac:dyDescent="0.3">
      <c r="A1" s="7" t="s">
        <v>5</v>
      </c>
      <c r="B1" s="7" t="s">
        <v>60</v>
      </c>
      <c r="C1" s="7" t="s">
        <v>61</v>
      </c>
      <c r="D1" s="7" t="s">
        <v>62</v>
      </c>
      <c r="E1" s="7" t="s">
        <v>63</v>
      </c>
      <c r="F1" s="7" t="s">
        <v>64</v>
      </c>
      <c r="G1" s="7" t="s">
        <v>65</v>
      </c>
      <c r="I1" s="4" t="s">
        <v>66</v>
      </c>
    </row>
    <row r="2" spans="1:19" x14ac:dyDescent="0.25">
      <c r="A2" s="10">
        <f>'Control base'!A2</f>
        <v>1</v>
      </c>
      <c r="B2" s="9">
        <f>'Control base'!E2</f>
        <v>1108.8</v>
      </c>
      <c r="C2" s="9">
        <f>'Control F100'!E2</f>
        <v>1068.0999999999999</v>
      </c>
      <c r="D2" s="9">
        <f t="shared" ref="D2:D33" si="0">C2-B2</f>
        <v>-40.700000000000045</v>
      </c>
      <c r="E2" s="9">
        <f>'Control base'!F2</f>
        <v>186.9</v>
      </c>
      <c r="F2" s="9">
        <f>'Control F100'!F2</f>
        <v>178.5</v>
      </c>
      <c r="G2" s="9">
        <f t="shared" ref="G2:G33" si="1">F2-E2</f>
        <v>-8.4000000000000057</v>
      </c>
    </row>
    <row r="3" spans="1:19" x14ac:dyDescent="0.25">
      <c r="A3" s="10">
        <f>'Control base'!A3</f>
        <v>2</v>
      </c>
      <c r="B3" s="9">
        <f>'Control base'!E3</f>
        <v>1110.3</v>
      </c>
      <c r="C3" s="9">
        <f>'Control F100'!E3</f>
        <v>1065.4000000000001</v>
      </c>
      <c r="D3" s="9">
        <f t="shared" si="0"/>
        <v>-44.899999999999864</v>
      </c>
      <c r="E3" s="9">
        <f>'Control base'!F3</f>
        <v>188.1</v>
      </c>
      <c r="F3" s="9">
        <f>'Control F100'!F3</f>
        <v>175.9</v>
      </c>
      <c r="G3" s="9">
        <f t="shared" si="1"/>
        <v>-12.199999999999989</v>
      </c>
      <c r="I3" s="5" t="s">
        <v>67</v>
      </c>
    </row>
    <row r="4" spans="1:19" ht="30" x14ac:dyDescent="0.25">
      <c r="A4" s="10">
        <f>'Control base'!A4</f>
        <v>3</v>
      </c>
      <c r="B4" s="9">
        <f>'Control base'!E4</f>
        <v>1109.9000000000001</v>
      </c>
      <c r="C4" s="9">
        <f>'Control F100'!E4</f>
        <v>1064.5999999999999</v>
      </c>
      <c r="D4" s="9">
        <f t="shared" si="0"/>
        <v>-45.300000000000182</v>
      </c>
      <c r="E4" s="9">
        <f>'Control base'!F4</f>
        <v>187.6</v>
      </c>
      <c r="F4" s="9">
        <f>'Control F100'!F4</f>
        <v>175.5</v>
      </c>
      <c r="G4" s="9">
        <f t="shared" si="1"/>
        <v>-12.099999999999994</v>
      </c>
      <c r="I4" s="7" t="s">
        <v>68</v>
      </c>
      <c r="J4" s="7" t="s">
        <v>69</v>
      </c>
      <c r="K4" s="7" t="s">
        <v>35</v>
      </c>
      <c r="L4" s="7" t="s">
        <v>36</v>
      </c>
      <c r="M4" s="7" t="s">
        <v>37</v>
      </c>
      <c r="N4" s="7" t="s">
        <v>38</v>
      </c>
      <c r="O4" s="7" t="s">
        <v>39</v>
      </c>
    </row>
    <row r="5" spans="1:19" x14ac:dyDescent="0.25">
      <c r="A5" s="10">
        <f>'Control base'!A5</f>
        <v>4</v>
      </c>
      <c r="B5" s="9">
        <f>'Control base'!E5</f>
        <v>1107.2</v>
      </c>
      <c r="C5" s="9">
        <f>'Control F100'!E5</f>
        <v>1064.0999999999999</v>
      </c>
      <c r="D5" s="9">
        <f t="shared" si="0"/>
        <v>-43.100000000000136</v>
      </c>
      <c r="E5" s="9">
        <f>'Control base'!F5</f>
        <v>184.9</v>
      </c>
      <c r="F5" s="9">
        <f>'Control F100'!F5</f>
        <v>174.6</v>
      </c>
      <c r="G5" s="9">
        <f t="shared" si="1"/>
        <v>-10.300000000000011</v>
      </c>
      <c r="I5" t="s">
        <v>31</v>
      </c>
      <c r="J5" s="8">
        <f>AVERAGE($D$2:$D$101)</f>
        <v>-44.80299999999999</v>
      </c>
      <c r="K5" s="9">
        <f>_xlfn.STDEV.S($D$2:$D$101)</f>
        <v>2.9571503823509575</v>
      </c>
      <c r="L5" s="10">
        <f>COUNT($D$2:$D$101)</f>
        <v>100</v>
      </c>
      <c r="M5" s="8">
        <f>z_95*K5/SQRT(L5)</f>
        <v>0.57960147494078762</v>
      </c>
      <c r="N5" s="9">
        <f>J5-M5</f>
        <v>-45.382601474940778</v>
      </c>
      <c r="O5" s="9">
        <f>J5+M5</f>
        <v>-44.223398525059203</v>
      </c>
    </row>
    <row r="6" spans="1:19" x14ac:dyDescent="0.25">
      <c r="A6" s="10">
        <f>'Control base'!A6</f>
        <v>5</v>
      </c>
      <c r="B6" s="9">
        <f>'Control base'!E6</f>
        <v>1111</v>
      </c>
      <c r="C6" s="9">
        <f>'Control F100'!E6</f>
        <v>1066</v>
      </c>
      <c r="D6" s="9">
        <f t="shared" si="0"/>
        <v>-45</v>
      </c>
      <c r="E6" s="9">
        <f>'Control base'!F6</f>
        <v>188.8</v>
      </c>
      <c r="F6" s="9">
        <f>'Control F100'!F6</f>
        <v>177.5</v>
      </c>
      <c r="G6" s="9">
        <f t="shared" si="1"/>
        <v>-11.300000000000011</v>
      </c>
      <c r="I6" t="s">
        <v>48</v>
      </c>
      <c r="J6" s="8">
        <f>AVERAGE($G$2:$G$101)</f>
        <v>-11.618000000000002</v>
      </c>
      <c r="K6" s="9">
        <f>_xlfn.STDEV.S($G$2:$G$101)</f>
        <v>2.8397033562531</v>
      </c>
      <c r="L6" s="10">
        <f>COUNT($G$2:$G$101)</f>
        <v>100</v>
      </c>
      <c r="M6" s="8">
        <f>z_95*K6/SQRT(L6)</f>
        <v>0.55658185782560765</v>
      </c>
      <c r="N6" s="9">
        <f>J6-M6</f>
        <v>-12.17458185782561</v>
      </c>
      <c r="O6" s="9">
        <f>J6+M6</f>
        <v>-11.061418142174395</v>
      </c>
    </row>
    <row r="7" spans="1:19" x14ac:dyDescent="0.25">
      <c r="A7" s="10">
        <f>'Control base'!A7</f>
        <v>6</v>
      </c>
      <c r="B7" s="9">
        <f>'Control base'!E7</f>
        <v>1110.5</v>
      </c>
      <c r="C7" s="9">
        <f>'Control F100'!E7</f>
        <v>1069.3</v>
      </c>
      <c r="D7" s="9">
        <f t="shared" si="0"/>
        <v>-41.200000000000045</v>
      </c>
      <c r="E7" s="9">
        <f>'Control base'!F7</f>
        <v>187.2</v>
      </c>
      <c r="F7" s="9">
        <f>'Control F100'!F7</f>
        <v>180.6</v>
      </c>
      <c r="G7" s="9">
        <f t="shared" si="1"/>
        <v>-6.5999999999999943</v>
      </c>
      <c r="I7" t="s">
        <v>70</v>
      </c>
      <c r="J7" s="14">
        <f>Resumen!I44</f>
        <v>-54.65269624792937</v>
      </c>
      <c r="M7" s="14">
        <f>Resumen!J44</f>
        <v>0.37496879045795317</v>
      </c>
      <c r="N7" s="14">
        <f>J7-M7</f>
        <v>-55.027665038387326</v>
      </c>
      <c r="O7" s="14">
        <f>J7+M7</f>
        <v>-54.277727457471414</v>
      </c>
    </row>
    <row r="8" spans="1:19" ht="30" customHeight="1" x14ac:dyDescent="0.25">
      <c r="A8" s="10">
        <f>'Control base'!A8</f>
        <v>7</v>
      </c>
      <c r="B8" s="9">
        <f>'Control base'!E8</f>
        <v>1110.2</v>
      </c>
      <c r="C8" s="9">
        <f>'Control F100'!E8</f>
        <v>1067.2</v>
      </c>
      <c r="D8" s="9">
        <f t="shared" si="0"/>
        <v>-43</v>
      </c>
      <c r="E8" s="9">
        <f>'Control base'!F8</f>
        <v>188.2</v>
      </c>
      <c r="F8" s="9">
        <f>'Control F100'!F8</f>
        <v>177.6</v>
      </c>
      <c r="G8" s="9">
        <f t="shared" si="1"/>
        <v>-10.599999999999994</v>
      </c>
      <c r="I8" s="19" t="s">
        <v>71</v>
      </c>
      <c r="J8" s="20"/>
      <c r="K8" s="20"/>
      <c r="L8" s="20"/>
      <c r="M8" s="20"/>
      <c r="N8" s="20"/>
      <c r="O8" s="20"/>
      <c r="P8" s="20"/>
    </row>
    <row r="9" spans="1:19" x14ac:dyDescent="0.25">
      <c r="A9" s="10">
        <f>'Control base'!A9</f>
        <v>8</v>
      </c>
      <c r="B9" s="9">
        <f>'Control base'!E9</f>
        <v>1110.7</v>
      </c>
      <c r="C9" s="9">
        <f>'Control F100'!E9</f>
        <v>1062.5</v>
      </c>
      <c r="D9" s="9">
        <f t="shared" si="0"/>
        <v>-48.200000000000045</v>
      </c>
      <c r="E9" s="9">
        <f>'Control base'!F9</f>
        <v>189.1</v>
      </c>
      <c r="F9" s="9">
        <f>'Control F100'!F9</f>
        <v>174.5</v>
      </c>
      <c r="G9" s="9">
        <f t="shared" si="1"/>
        <v>-14.599999999999994</v>
      </c>
    </row>
    <row r="10" spans="1:19" x14ac:dyDescent="0.25">
      <c r="A10" s="10">
        <f>'Control base'!A10</f>
        <v>9</v>
      </c>
      <c r="B10" s="9">
        <f>'Control base'!E10</f>
        <v>1110.5999999999999</v>
      </c>
      <c r="C10" s="9">
        <f>'Control F100'!E10</f>
        <v>1064.4000000000001</v>
      </c>
      <c r="D10" s="9">
        <f t="shared" si="0"/>
        <v>-46.199999999999818</v>
      </c>
      <c r="E10" s="9">
        <f>'Control base'!F10</f>
        <v>188.4</v>
      </c>
      <c r="F10" s="9">
        <f>'Control F100'!F10</f>
        <v>175.7</v>
      </c>
      <c r="G10" s="9">
        <f t="shared" si="1"/>
        <v>-12.700000000000017</v>
      </c>
    </row>
    <row r="11" spans="1:19" x14ac:dyDescent="0.25">
      <c r="A11" s="10">
        <f>'Control base'!A11</f>
        <v>10</v>
      </c>
      <c r="B11" s="9">
        <f>'Control base'!E11</f>
        <v>1111</v>
      </c>
      <c r="C11" s="9">
        <f>'Control F100'!E11</f>
        <v>1064.9000000000001</v>
      </c>
      <c r="D11" s="9">
        <f t="shared" si="0"/>
        <v>-46.099999999999909</v>
      </c>
      <c r="E11" s="9">
        <f>'Control base'!F11</f>
        <v>189.1</v>
      </c>
      <c r="F11" s="9">
        <f>'Control F100'!F11</f>
        <v>176.1</v>
      </c>
      <c r="G11" s="9">
        <f t="shared" si="1"/>
        <v>-13</v>
      </c>
      <c r="I11" s="5" t="s">
        <v>72</v>
      </c>
    </row>
    <row r="12" spans="1:19" x14ac:dyDescent="0.25">
      <c r="A12" s="10">
        <f>'Control base'!A12</f>
        <v>11</v>
      </c>
      <c r="B12" s="9">
        <f>'Control base'!E12</f>
        <v>1110.4000000000001</v>
      </c>
      <c r="C12" s="9">
        <f>'Control F100'!E12</f>
        <v>1068.3</v>
      </c>
      <c r="D12" s="9">
        <f t="shared" si="0"/>
        <v>-42.100000000000136</v>
      </c>
      <c r="E12" s="9">
        <f>'Control base'!F12</f>
        <v>188.8</v>
      </c>
      <c r="F12" s="9">
        <f>'Control F100'!F12</f>
        <v>180</v>
      </c>
      <c r="G12" s="9">
        <f t="shared" si="1"/>
        <v>-8.8000000000000114</v>
      </c>
      <c r="I12" s="7" t="s">
        <v>68</v>
      </c>
      <c r="J12" s="7" t="s">
        <v>73</v>
      </c>
      <c r="K12" s="7" t="s">
        <v>74</v>
      </c>
      <c r="L12" s="7" t="s">
        <v>75</v>
      </c>
      <c r="M12" s="7" t="s">
        <v>76</v>
      </c>
      <c r="N12" s="7" t="s">
        <v>77</v>
      </c>
      <c r="O12" s="7" t="s">
        <v>78</v>
      </c>
      <c r="P12" s="7" t="s">
        <v>79</v>
      </c>
      <c r="Q12" s="7" t="s">
        <v>37</v>
      </c>
      <c r="R12" s="7" t="s">
        <v>38</v>
      </c>
      <c r="S12" s="7" t="s">
        <v>39</v>
      </c>
    </row>
    <row r="13" spans="1:19" x14ac:dyDescent="0.25">
      <c r="A13" s="10">
        <f>'Control base'!A13</f>
        <v>12</v>
      </c>
      <c r="B13" s="9">
        <f>'Control base'!E13</f>
        <v>1110</v>
      </c>
      <c r="C13" s="9">
        <f>'Control F100'!E13</f>
        <v>1067.0999999999999</v>
      </c>
      <c r="D13" s="9">
        <f t="shared" si="0"/>
        <v>-42.900000000000091</v>
      </c>
      <c r="E13" s="9">
        <f>'Control base'!F13</f>
        <v>187.8</v>
      </c>
      <c r="F13" s="9">
        <f>'Control F100'!F13</f>
        <v>177.4</v>
      </c>
      <c r="G13" s="9">
        <f t="shared" si="1"/>
        <v>-10.400000000000006</v>
      </c>
      <c r="I13" t="s">
        <v>31</v>
      </c>
      <c r="J13" s="9">
        <f>AVERAGE('AnyLogic sin F'!$D$2:$D$101)</f>
        <v>1110.7919999999992</v>
      </c>
      <c r="K13" s="9">
        <f>AVERAGE('AnyLogic F100'!$D$2:$D$101)</f>
        <v>1065.4090000000003</v>
      </c>
      <c r="L13" s="9">
        <f>_xlfn.STDEV.S('AnyLogic sin F'!$D$2:$D$101)</f>
        <v>2.2747041099621623</v>
      </c>
      <c r="M13" s="9">
        <f>_xlfn.STDEV.S('AnyLogic F100'!$D$2:$D$101)</f>
        <v>1.8858374342139868</v>
      </c>
      <c r="N13" s="10">
        <f>COUNT('AnyLogic sin F'!$D$2:$D$101)</f>
        <v>100</v>
      </c>
      <c r="O13" s="10">
        <f>COUNT('AnyLogic F100'!$D$2:$D$101)</f>
        <v>100</v>
      </c>
      <c r="P13" s="8">
        <f>K13-J13</f>
        <v>-45.382999999998901</v>
      </c>
      <c r="Q13" s="8">
        <f>z_95*SQRT(L13^2/N13+M13^2/O13)</f>
        <v>0.5791347827979787</v>
      </c>
      <c r="R13" s="9">
        <f>P13-Q13</f>
        <v>-45.96213478279688</v>
      </c>
      <c r="S13" s="9">
        <f>P13+Q13</f>
        <v>-44.803865217200922</v>
      </c>
    </row>
    <row r="14" spans="1:19" x14ac:dyDescent="0.25">
      <c r="A14" s="10">
        <f>'Control base'!A14</f>
        <v>13</v>
      </c>
      <c r="B14" s="9">
        <f>'Control base'!E14</f>
        <v>1111.4000000000001</v>
      </c>
      <c r="C14" s="9">
        <f>'Control F100'!E14</f>
        <v>1063.5</v>
      </c>
      <c r="D14" s="9">
        <f t="shared" si="0"/>
        <v>-47.900000000000091</v>
      </c>
      <c r="E14" s="9">
        <f>'Control base'!F14</f>
        <v>188.2</v>
      </c>
      <c r="F14" s="9">
        <f>'Control F100'!F14</f>
        <v>174.7</v>
      </c>
      <c r="G14" s="9">
        <f t="shared" si="1"/>
        <v>-13.5</v>
      </c>
      <c r="I14" t="s">
        <v>48</v>
      </c>
      <c r="J14" s="9">
        <f>AVERAGE('AnyLogic sin F'!$E$2:$E$101)</f>
        <v>188.50100000000003</v>
      </c>
      <c r="K14" s="9">
        <f>AVERAGE('AnyLogic F100'!$E$2:$E$101)</f>
        <v>176.50299999999996</v>
      </c>
      <c r="L14" s="9">
        <f>_xlfn.STDEV.S('AnyLogic sin F'!$E$2:$E$101)</f>
        <v>2.2096434650015935</v>
      </c>
      <c r="M14" s="9">
        <f>_xlfn.STDEV.S('AnyLogic F100'!$E$2:$E$101)</f>
        <v>1.8407538530381375</v>
      </c>
      <c r="N14" s="10">
        <f>COUNT('AnyLogic sin F'!$E$2:$E$101)</f>
        <v>100</v>
      </c>
      <c r="O14" s="10">
        <f>COUNT('AnyLogic F100'!$E$2:$E$101)</f>
        <v>100</v>
      </c>
      <c r="P14" s="8">
        <f>K14-J14</f>
        <v>-11.998000000000076</v>
      </c>
      <c r="Q14" s="8">
        <f>z_95*SQRT(L14^2/N14+M14^2/O14)</f>
        <v>0.56367974559669942</v>
      </c>
      <c r="R14" s="9">
        <f>P14-Q14</f>
        <v>-12.561679745596775</v>
      </c>
      <c r="S14" s="9">
        <f>P14+Q14</f>
        <v>-11.434320254403376</v>
      </c>
    </row>
    <row r="15" spans="1:19" x14ac:dyDescent="0.25">
      <c r="A15" s="10">
        <f>'Control base'!A15</f>
        <v>14</v>
      </c>
      <c r="B15" s="9">
        <f>'Control base'!E15</f>
        <v>1109.8</v>
      </c>
      <c r="C15" s="9">
        <f>'Control F100'!E15</f>
        <v>1063.9000000000001</v>
      </c>
      <c r="D15" s="9">
        <f t="shared" si="0"/>
        <v>-45.899999999999864</v>
      </c>
      <c r="E15" s="9">
        <f>'Control base'!F15</f>
        <v>188.2</v>
      </c>
      <c r="F15" s="9">
        <f>'Control F100'!F15</f>
        <v>174.9</v>
      </c>
      <c r="G15" s="9">
        <f t="shared" si="1"/>
        <v>-13.299999999999983</v>
      </c>
      <c r="I15" t="s">
        <v>49</v>
      </c>
      <c r="J15" s="11">
        <f>AVERAGE('AnyLogic sin F'!$F$2:$F$101)</f>
        <v>1.4426419999999995</v>
      </c>
      <c r="K15" s="11">
        <f>AVERAGE('AnyLogic F100'!$F$2:$F$101)</f>
        <v>1.465557</v>
      </c>
      <c r="L15" s="11">
        <f>_xlfn.STDEV.S('AnyLogic sin F'!$F$2:$F$101)</f>
        <v>6.1761679466359163E-4</v>
      </c>
      <c r="M15" s="11">
        <f>_xlfn.STDEV.S('AnyLogic F100'!$F$2:$F$101)</f>
        <v>6.5647589907062947E-4</v>
      </c>
      <c r="N15" s="10">
        <f>COUNT('AnyLogic sin F'!$F$2:$F$101)</f>
        <v>100</v>
      </c>
      <c r="O15" s="10">
        <f>COUNT('AnyLogic F100'!$F$2:$F$101)</f>
        <v>100</v>
      </c>
      <c r="P15" s="11">
        <f>K15-J15</f>
        <v>2.2915000000000463E-2</v>
      </c>
      <c r="Q15" s="11">
        <f>z_95*SQRT(L15^2/N15+M15^2/O15)</f>
        <v>1.7666234812331914E-4</v>
      </c>
      <c r="R15" s="11">
        <f>P15-Q15</f>
        <v>2.2738337651877143E-2</v>
      </c>
      <c r="S15" s="11">
        <f>P15+Q15</f>
        <v>2.3091662348123782E-2</v>
      </c>
    </row>
    <row r="16" spans="1:19" x14ac:dyDescent="0.25">
      <c r="A16" s="10">
        <f>'Control base'!A16</f>
        <v>15</v>
      </c>
      <c r="B16" s="9">
        <f>'Control base'!E16</f>
        <v>1112.0999999999999</v>
      </c>
      <c r="C16" s="9">
        <f>'Control F100'!E16</f>
        <v>1065</v>
      </c>
      <c r="D16" s="9">
        <f t="shared" si="0"/>
        <v>-47.099999999999909</v>
      </c>
      <c r="E16" s="9">
        <f>'Control base'!F16</f>
        <v>189.6</v>
      </c>
      <c r="F16" s="9">
        <f>'Control F100'!F16</f>
        <v>176</v>
      </c>
      <c r="G16" s="9">
        <f t="shared" si="1"/>
        <v>-13.599999999999994</v>
      </c>
      <c r="I16" t="s">
        <v>80</v>
      </c>
      <c r="J16" s="13">
        <f>IF(COUNT('AnyLogic sin F'!$S$2:$S$101)&lt;2,"",AVERAGE('AnyLogic sin F'!$S$2:$S$101))</f>
        <v>12463.45</v>
      </c>
      <c r="K16" s="13">
        <f>IF(COUNT('AnyLogic F100'!$T$2:$T$101)&lt;2,"",AVERAGE('AnyLogic F100'!$T$2:$T$101))</f>
        <v>5693.8</v>
      </c>
      <c r="L16" s="13">
        <f>IF(COUNT('AnyLogic sin F'!$S$2:$S$101)&lt;2,"",_xlfn.STDEV.S('AnyLogic sin F'!$S$2:$S$101))</f>
        <v>281.48894787855841</v>
      </c>
      <c r="M16" s="13">
        <f>IF(COUNT('AnyLogic F100'!$T$2:$T$101)&lt;2,"",_xlfn.STDEV.S('AnyLogic F100'!$T$2:$T$101))</f>
        <v>138.25923535741171</v>
      </c>
      <c r="N16" s="10">
        <f>IF(COUNT('AnyLogic sin F'!$S$2:$S$101)&lt;2,"",COUNT('AnyLogic sin F'!$S$2:$S$101))</f>
        <v>100</v>
      </c>
      <c r="O16" s="10">
        <f>IF(COUNT('AnyLogic F100'!$T$2:$T$101)&lt;2,"",COUNT('AnyLogic F100'!$T$2:$T$101))</f>
        <v>100</v>
      </c>
      <c r="P16" s="13">
        <f>IF(OR(J16="",K16=""),"",K16-J16)</f>
        <v>-6769.6500000000005</v>
      </c>
      <c r="Q16" s="13">
        <f>IF(OR(J16="",K16=""),"",z_95*SQRT(L16^2/N16+M16^2/O16))</f>
        <v>61.467688695572065</v>
      </c>
      <c r="R16" s="13">
        <f>IF(OR(J16="",K16=""),"",P16-Q16)</f>
        <v>-6831.1176886955727</v>
      </c>
      <c r="S16" s="13">
        <f>IF(OR(J16="",K16=""),"",P16+Q16)</f>
        <v>-6708.1823113044284</v>
      </c>
    </row>
    <row r="17" spans="1:19" x14ac:dyDescent="0.25">
      <c r="A17" s="10">
        <f>'Control base'!A17</f>
        <v>16</v>
      </c>
      <c r="B17" s="9">
        <f>'Control base'!E17</f>
        <v>1107.8</v>
      </c>
      <c r="C17" s="9">
        <f>'Control F100'!E17</f>
        <v>1067.4000000000001</v>
      </c>
      <c r="D17" s="9">
        <f t="shared" si="0"/>
        <v>-40.399999999999864</v>
      </c>
      <c r="E17" s="9">
        <f>'Control base'!F17</f>
        <v>186.1</v>
      </c>
      <c r="F17" s="9">
        <f>'Control F100'!F17</f>
        <v>178.5</v>
      </c>
      <c r="G17" s="9">
        <f t="shared" si="1"/>
        <v>-7.5999999999999943</v>
      </c>
      <c r="I17" t="s">
        <v>70</v>
      </c>
      <c r="P17" s="14">
        <f>IF(OR(J16="",K16=""),"",100*(K16/J16-1))</f>
        <v>-54.316020042604585</v>
      </c>
      <c r="Q17" s="14">
        <f>IF(OR(J16="",K16=""),"",100*z_95*(K16/J16)*SQRT((M16/K16)^2/O16+(L16/J16)^2/N16))</f>
        <v>0.29693546221563205</v>
      </c>
      <c r="R17" s="14">
        <f>IF(P17="","",P17-Q17)</f>
        <v>-54.612955504820214</v>
      </c>
      <c r="S17" s="14">
        <f>IF(P17="","",P17+Q17)</f>
        <v>-54.019084580388956</v>
      </c>
    </row>
    <row r="18" spans="1:19" ht="30" customHeight="1" x14ac:dyDescent="0.25">
      <c r="A18" s="10">
        <f>'Control base'!A18</f>
        <v>17</v>
      </c>
      <c r="B18" s="9">
        <f>'Control base'!E18</f>
        <v>1109.8</v>
      </c>
      <c r="C18" s="9">
        <f>'Control F100'!E18</f>
        <v>1062.7</v>
      </c>
      <c r="D18" s="9">
        <f t="shared" si="0"/>
        <v>-47.099999999999909</v>
      </c>
      <c r="E18" s="9">
        <f>'Control base'!F18</f>
        <v>187.3</v>
      </c>
      <c r="F18" s="9">
        <f>'Control F100'!F18</f>
        <v>174.2</v>
      </c>
      <c r="G18" s="9">
        <f t="shared" si="1"/>
        <v>-13.100000000000023</v>
      </c>
      <c r="I18" s="19" t="s">
        <v>81</v>
      </c>
      <c r="J18" s="20"/>
      <c r="K18" s="20"/>
      <c r="L18" s="20"/>
      <c r="M18" s="20"/>
      <c r="N18" s="20"/>
      <c r="O18" s="20"/>
      <c r="P18" s="20"/>
      <c r="Q18" s="20"/>
      <c r="R18" s="20"/>
      <c r="S18" s="20"/>
    </row>
    <row r="19" spans="1:19" x14ac:dyDescent="0.25">
      <c r="A19" s="10">
        <f>'Control base'!A19</f>
        <v>18</v>
      </c>
      <c r="B19" s="9">
        <f>'Control base'!E19</f>
        <v>1114.2</v>
      </c>
      <c r="C19" s="9">
        <f>'Control F100'!E19</f>
        <v>1067.9000000000001</v>
      </c>
      <c r="D19" s="9">
        <f t="shared" si="0"/>
        <v>-46.299999999999955</v>
      </c>
      <c r="E19" s="9">
        <f>'Control base'!F19</f>
        <v>192.6</v>
      </c>
      <c r="F19" s="9">
        <f>'Control F100'!F19</f>
        <v>178.7</v>
      </c>
      <c r="G19" s="9">
        <f t="shared" si="1"/>
        <v>-13.900000000000006</v>
      </c>
    </row>
    <row r="20" spans="1:19" x14ac:dyDescent="0.25">
      <c r="A20" s="10">
        <f>'Control base'!A20</f>
        <v>19</v>
      </c>
      <c r="B20" s="9">
        <f>'Control base'!E20</f>
        <v>1110.0999999999999</v>
      </c>
      <c r="C20" s="9">
        <f>'Control F100'!E20</f>
        <v>1065.3</v>
      </c>
      <c r="D20" s="9">
        <f t="shared" si="0"/>
        <v>-44.799999999999955</v>
      </c>
      <c r="E20" s="9">
        <f>'Control base'!F20</f>
        <v>187.7</v>
      </c>
      <c r="F20" s="9">
        <f>'Control F100'!F20</f>
        <v>176.6</v>
      </c>
      <c r="G20" s="9">
        <f t="shared" si="1"/>
        <v>-11.099999999999994</v>
      </c>
    </row>
    <row r="21" spans="1:19" x14ac:dyDescent="0.25">
      <c r="A21" s="10">
        <f>'Control base'!A21</f>
        <v>20</v>
      </c>
      <c r="B21" s="9">
        <f>'Control base'!E21</f>
        <v>1112.7</v>
      </c>
      <c r="C21" s="9">
        <f>'Control F100'!E21</f>
        <v>1066.0999999999999</v>
      </c>
      <c r="D21" s="9">
        <f t="shared" si="0"/>
        <v>-46.600000000000136</v>
      </c>
      <c r="E21" s="9">
        <f>'Control base'!F21</f>
        <v>190.1</v>
      </c>
      <c r="F21" s="9">
        <f>'Control F100'!F21</f>
        <v>176.6</v>
      </c>
      <c r="G21" s="9">
        <f t="shared" si="1"/>
        <v>-13.5</v>
      </c>
    </row>
    <row r="22" spans="1:19" x14ac:dyDescent="0.25">
      <c r="A22" s="10">
        <f>'Control base'!A22</f>
        <v>21</v>
      </c>
      <c r="B22" s="9">
        <f>'Control base'!E22</f>
        <v>1110.9000000000001</v>
      </c>
      <c r="C22" s="9">
        <f>'Control F100'!E22</f>
        <v>1064.5999999999999</v>
      </c>
      <c r="D22" s="9">
        <f t="shared" si="0"/>
        <v>-46.300000000000182</v>
      </c>
      <c r="E22" s="9">
        <f>'Control base'!F22</f>
        <v>187.8</v>
      </c>
      <c r="F22" s="9">
        <f>'Control F100'!F22</f>
        <v>175</v>
      </c>
      <c r="G22" s="9">
        <f t="shared" si="1"/>
        <v>-12.800000000000011</v>
      </c>
    </row>
    <row r="23" spans="1:19" x14ac:dyDescent="0.25">
      <c r="A23" s="10">
        <f>'Control base'!A23</f>
        <v>22</v>
      </c>
      <c r="B23" s="9">
        <f>'Control base'!E23</f>
        <v>1110.8</v>
      </c>
      <c r="C23" s="9">
        <f>'Control F100'!E23</f>
        <v>1063.4000000000001</v>
      </c>
      <c r="D23" s="9">
        <f t="shared" si="0"/>
        <v>-47.399999999999864</v>
      </c>
      <c r="E23" s="9">
        <f>'Control base'!F23</f>
        <v>188.2</v>
      </c>
      <c r="F23" s="9">
        <f>'Control F100'!F23</f>
        <v>174</v>
      </c>
      <c r="G23" s="9">
        <f t="shared" si="1"/>
        <v>-14.199999999999989</v>
      </c>
    </row>
    <row r="24" spans="1:19" x14ac:dyDescent="0.25">
      <c r="A24" s="10">
        <f>'Control base'!A24</f>
        <v>23</v>
      </c>
      <c r="B24" s="9">
        <f>'Control base'!E24</f>
        <v>1109.3</v>
      </c>
      <c r="C24" s="9">
        <f>'Control F100'!E24</f>
        <v>1067.3</v>
      </c>
      <c r="D24" s="9">
        <f t="shared" si="0"/>
        <v>-42</v>
      </c>
      <c r="E24" s="9">
        <f>'Control base'!F24</f>
        <v>187</v>
      </c>
      <c r="F24" s="9">
        <f>'Control F100'!F24</f>
        <v>178.6</v>
      </c>
      <c r="G24" s="9">
        <f t="shared" si="1"/>
        <v>-8.4000000000000057</v>
      </c>
    </row>
    <row r="25" spans="1:19" x14ac:dyDescent="0.25">
      <c r="A25" s="10">
        <f>'Control base'!A25</f>
        <v>24</v>
      </c>
      <c r="B25" s="9">
        <f>'Control base'!E25</f>
        <v>1108.5</v>
      </c>
      <c r="C25" s="9">
        <f>'Control F100'!E25</f>
        <v>1070</v>
      </c>
      <c r="D25" s="9">
        <f t="shared" si="0"/>
        <v>-38.5</v>
      </c>
      <c r="E25" s="9">
        <f>'Control base'!F25</f>
        <v>186.4</v>
      </c>
      <c r="F25" s="9">
        <f>'Control F100'!F25</f>
        <v>180.8</v>
      </c>
      <c r="G25" s="9">
        <f t="shared" si="1"/>
        <v>-5.5999999999999943</v>
      </c>
    </row>
    <row r="26" spans="1:19" x14ac:dyDescent="0.25">
      <c r="A26" s="10">
        <f>'Control base'!A26</f>
        <v>25</v>
      </c>
      <c r="B26" s="9">
        <f>'Control base'!E26</f>
        <v>1108.4000000000001</v>
      </c>
      <c r="C26" s="9">
        <f>'Control F100'!E26</f>
        <v>1062.5999999999999</v>
      </c>
      <c r="D26" s="9">
        <f t="shared" si="0"/>
        <v>-45.800000000000182</v>
      </c>
      <c r="E26" s="9">
        <f>'Control base'!F26</f>
        <v>186.3</v>
      </c>
      <c r="F26" s="9">
        <f>'Control F100'!F26</f>
        <v>173.6</v>
      </c>
      <c r="G26" s="9">
        <f t="shared" si="1"/>
        <v>-12.700000000000017</v>
      </c>
    </row>
    <row r="27" spans="1:19" x14ac:dyDescent="0.25">
      <c r="A27" s="10">
        <f>'Control base'!A27</f>
        <v>26</v>
      </c>
      <c r="B27" s="9">
        <f>'Control base'!E27</f>
        <v>1112</v>
      </c>
      <c r="C27" s="9">
        <f>'Control F100'!E27</f>
        <v>1066.9000000000001</v>
      </c>
      <c r="D27" s="9">
        <f t="shared" si="0"/>
        <v>-45.099999999999909</v>
      </c>
      <c r="E27" s="9">
        <f>'Control base'!F27</f>
        <v>189.3</v>
      </c>
      <c r="F27" s="9">
        <f>'Control F100'!F27</f>
        <v>177.8</v>
      </c>
      <c r="G27" s="9">
        <f t="shared" si="1"/>
        <v>-11.5</v>
      </c>
    </row>
    <row r="28" spans="1:19" x14ac:dyDescent="0.25">
      <c r="A28" s="10">
        <f>'Control base'!A28</f>
        <v>27</v>
      </c>
      <c r="B28" s="9">
        <f>'Control base'!E28</f>
        <v>1108.9000000000001</v>
      </c>
      <c r="C28" s="9">
        <f>'Control F100'!E28</f>
        <v>1063.9000000000001</v>
      </c>
      <c r="D28" s="9">
        <f t="shared" si="0"/>
        <v>-45</v>
      </c>
      <c r="E28" s="9">
        <f>'Control base'!F28</f>
        <v>187.3</v>
      </c>
      <c r="F28" s="9">
        <f>'Control F100'!F28</f>
        <v>174.8</v>
      </c>
      <c r="G28" s="9">
        <f t="shared" si="1"/>
        <v>-12.5</v>
      </c>
    </row>
    <row r="29" spans="1:19" x14ac:dyDescent="0.25">
      <c r="A29" s="10">
        <f>'Control base'!A29</f>
        <v>28</v>
      </c>
      <c r="B29" s="9">
        <f>'Control base'!E29</f>
        <v>1106.3</v>
      </c>
      <c r="C29" s="9">
        <f>'Control F100'!E29</f>
        <v>1065.7</v>
      </c>
      <c r="D29" s="9">
        <f t="shared" si="0"/>
        <v>-40.599999999999909</v>
      </c>
      <c r="E29" s="9">
        <f>'Control base'!F29</f>
        <v>183.8</v>
      </c>
      <c r="F29" s="9">
        <f>'Control F100'!F29</f>
        <v>176.5</v>
      </c>
      <c r="G29" s="9">
        <f t="shared" si="1"/>
        <v>-7.3000000000000114</v>
      </c>
    </row>
    <row r="30" spans="1:19" x14ac:dyDescent="0.25">
      <c r="A30" s="10">
        <f>'Control base'!A30</f>
        <v>29</v>
      </c>
      <c r="B30" s="9">
        <f>'Control base'!E30</f>
        <v>1112</v>
      </c>
      <c r="C30" s="9">
        <f>'Control F100'!E30</f>
        <v>1064.0999999999999</v>
      </c>
      <c r="D30" s="9">
        <f t="shared" si="0"/>
        <v>-47.900000000000091</v>
      </c>
      <c r="E30" s="9">
        <f>'Control base'!F30</f>
        <v>190.4</v>
      </c>
      <c r="F30" s="9">
        <f>'Control F100'!F30</f>
        <v>175.6</v>
      </c>
      <c r="G30" s="9">
        <f t="shared" si="1"/>
        <v>-14.800000000000011</v>
      </c>
    </row>
    <row r="31" spans="1:19" x14ac:dyDescent="0.25">
      <c r="A31" s="10">
        <f>'Control base'!A31</f>
        <v>30</v>
      </c>
      <c r="B31" s="9">
        <f>'Control base'!E31</f>
        <v>1106.4000000000001</v>
      </c>
      <c r="C31" s="9">
        <f>'Control F100'!E31</f>
        <v>1062.9000000000001</v>
      </c>
      <c r="D31" s="9">
        <f t="shared" si="0"/>
        <v>-43.5</v>
      </c>
      <c r="E31" s="9">
        <f>'Control base'!F31</f>
        <v>184.4</v>
      </c>
      <c r="F31" s="9">
        <f>'Control F100'!F31</f>
        <v>173.8</v>
      </c>
      <c r="G31" s="9">
        <f t="shared" si="1"/>
        <v>-10.599999999999994</v>
      </c>
    </row>
    <row r="32" spans="1:19" x14ac:dyDescent="0.25">
      <c r="A32" s="10">
        <f>'Control base'!A32</f>
        <v>31</v>
      </c>
      <c r="B32" s="9">
        <f>'Control base'!E32</f>
        <v>1115</v>
      </c>
      <c r="C32" s="9">
        <f>'Control F100'!E32</f>
        <v>1066.5999999999999</v>
      </c>
      <c r="D32" s="9">
        <f t="shared" si="0"/>
        <v>-48.400000000000091</v>
      </c>
      <c r="E32" s="9">
        <f>'Control base'!F32</f>
        <v>192.6</v>
      </c>
      <c r="F32" s="9">
        <f>'Control F100'!F32</f>
        <v>177.4</v>
      </c>
      <c r="G32" s="9">
        <f t="shared" si="1"/>
        <v>-15.199999999999989</v>
      </c>
    </row>
    <row r="33" spans="1:7" x14ac:dyDescent="0.25">
      <c r="A33" s="10">
        <f>'Control base'!A33</f>
        <v>32</v>
      </c>
      <c r="B33" s="9">
        <f>'Control base'!E33</f>
        <v>1110.0999999999999</v>
      </c>
      <c r="C33" s="9">
        <f>'Control F100'!E33</f>
        <v>1065.2</v>
      </c>
      <c r="D33" s="9">
        <f t="shared" si="0"/>
        <v>-44.899999999999864</v>
      </c>
      <c r="E33" s="9">
        <f>'Control base'!F33</f>
        <v>187.7</v>
      </c>
      <c r="F33" s="9">
        <f>'Control F100'!F33</f>
        <v>175.4</v>
      </c>
      <c r="G33" s="9">
        <f t="shared" si="1"/>
        <v>-12.299999999999983</v>
      </c>
    </row>
    <row r="34" spans="1:7" x14ac:dyDescent="0.25">
      <c r="A34" s="10">
        <f>'Control base'!A34</f>
        <v>33</v>
      </c>
      <c r="B34" s="9">
        <f>'Control base'!E34</f>
        <v>1111.9000000000001</v>
      </c>
      <c r="C34" s="9">
        <f>'Control F100'!E34</f>
        <v>1064.3</v>
      </c>
      <c r="D34" s="9">
        <f t="shared" ref="D34:D65" si="2">C34-B34</f>
        <v>-47.600000000000136</v>
      </c>
      <c r="E34" s="9">
        <f>'Control base'!F34</f>
        <v>189.9</v>
      </c>
      <c r="F34" s="9">
        <f>'Control F100'!F34</f>
        <v>175.9</v>
      </c>
      <c r="G34" s="9">
        <f t="shared" ref="G34:G65" si="3">F34-E34</f>
        <v>-14</v>
      </c>
    </row>
    <row r="35" spans="1:7" x14ac:dyDescent="0.25">
      <c r="A35" s="10">
        <f>'Control base'!A35</f>
        <v>34</v>
      </c>
      <c r="B35" s="9">
        <f>'Control base'!E35</f>
        <v>1109.3</v>
      </c>
      <c r="C35" s="9">
        <f>'Control F100'!E35</f>
        <v>1064.2</v>
      </c>
      <c r="D35" s="9">
        <f t="shared" si="2"/>
        <v>-45.099999999999909</v>
      </c>
      <c r="E35" s="9">
        <f>'Control base'!F35</f>
        <v>186.8</v>
      </c>
      <c r="F35" s="9">
        <f>'Control F100'!F35</f>
        <v>175.4</v>
      </c>
      <c r="G35" s="9">
        <f t="shared" si="3"/>
        <v>-11.400000000000006</v>
      </c>
    </row>
    <row r="36" spans="1:7" x14ac:dyDescent="0.25">
      <c r="A36" s="10">
        <f>'Control base'!A36</f>
        <v>35</v>
      </c>
      <c r="B36" s="9">
        <f>'Control base'!E36</f>
        <v>1112.7</v>
      </c>
      <c r="C36" s="9">
        <f>'Control F100'!E36</f>
        <v>1068.5999999999999</v>
      </c>
      <c r="D36" s="9">
        <f t="shared" si="2"/>
        <v>-44.100000000000136</v>
      </c>
      <c r="E36" s="9">
        <f>'Control base'!F36</f>
        <v>191.4</v>
      </c>
      <c r="F36" s="9">
        <f>'Control F100'!F36</f>
        <v>179.7</v>
      </c>
      <c r="G36" s="9">
        <f t="shared" si="3"/>
        <v>-11.700000000000017</v>
      </c>
    </row>
    <row r="37" spans="1:7" x14ac:dyDescent="0.25">
      <c r="A37" s="10">
        <f>'Control base'!A37</f>
        <v>36</v>
      </c>
      <c r="B37" s="9">
        <f>'Control base'!E37</f>
        <v>1113.3</v>
      </c>
      <c r="C37" s="9">
        <f>'Control F100'!E37</f>
        <v>1066.5</v>
      </c>
      <c r="D37" s="9">
        <f t="shared" si="2"/>
        <v>-46.799999999999955</v>
      </c>
      <c r="E37" s="9">
        <f>'Control base'!F37</f>
        <v>191.1</v>
      </c>
      <c r="F37" s="9">
        <f>'Control F100'!F37</f>
        <v>177.5</v>
      </c>
      <c r="G37" s="9">
        <f t="shared" si="3"/>
        <v>-13.599999999999994</v>
      </c>
    </row>
    <row r="38" spans="1:7" x14ac:dyDescent="0.25">
      <c r="A38" s="10">
        <f>'Control base'!A38</f>
        <v>37</v>
      </c>
      <c r="B38" s="9">
        <f>'Control base'!E38</f>
        <v>1110.5999999999999</v>
      </c>
      <c r="C38" s="9">
        <f>'Control F100'!E38</f>
        <v>1066.5999999999999</v>
      </c>
      <c r="D38" s="9">
        <f t="shared" si="2"/>
        <v>-44</v>
      </c>
      <c r="E38" s="9">
        <f>'Control base'!F38</f>
        <v>189.2</v>
      </c>
      <c r="F38" s="9">
        <f>'Control F100'!F38</f>
        <v>177.6</v>
      </c>
      <c r="G38" s="9">
        <f t="shared" si="3"/>
        <v>-11.599999999999994</v>
      </c>
    </row>
    <row r="39" spans="1:7" x14ac:dyDescent="0.25">
      <c r="A39" s="10">
        <f>'Control base'!A39</f>
        <v>38</v>
      </c>
      <c r="B39" s="9">
        <f>'Control base'!E39</f>
        <v>1110.5999999999999</v>
      </c>
      <c r="C39" s="9">
        <f>'Control F100'!E39</f>
        <v>1064</v>
      </c>
      <c r="D39" s="9">
        <f t="shared" si="2"/>
        <v>-46.599999999999909</v>
      </c>
      <c r="E39" s="9">
        <f>'Control base'!F39</f>
        <v>188.2</v>
      </c>
      <c r="F39" s="9">
        <f>'Control F100'!F39</f>
        <v>174.5</v>
      </c>
      <c r="G39" s="9">
        <f t="shared" si="3"/>
        <v>-13.699999999999989</v>
      </c>
    </row>
    <row r="40" spans="1:7" x14ac:dyDescent="0.25">
      <c r="A40" s="10">
        <f>'Control base'!A40</f>
        <v>39</v>
      </c>
      <c r="B40" s="9">
        <f>'Control base'!E40</f>
        <v>1111.8</v>
      </c>
      <c r="C40" s="9">
        <f>'Control F100'!E40</f>
        <v>1067.5999999999999</v>
      </c>
      <c r="D40" s="9">
        <f t="shared" si="2"/>
        <v>-44.200000000000045</v>
      </c>
      <c r="E40" s="9">
        <f>'Control base'!F40</f>
        <v>189.5</v>
      </c>
      <c r="F40" s="9">
        <f>'Control F100'!F40</f>
        <v>178</v>
      </c>
      <c r="G40" s="9">
        <f t="shared" si="3"/>
        <v>-11.5</v>
      </c>
    </row>
    <row r="41" spans="1:7" x14ac:dyDescent="0.25">
      <c r="A41" s="10">
        <f>'Control base'!A41</f>
        <v>40</v>
      </c>
      <c r="B41" s="9">
        <f>'Control base'!E41</f>
        <v>1113.2</v>
      </c>
      <c r="C41" s="9">
        <f>'Control F100'!E41</f>
        <v>1062.3</v>
      </c>
      <c r="D41" s="9">
        <f t="shared" si="2"/>
        <v>-50.900000000000091</v>
      </c>
      <c r="E41" s="9">
        <f>'Control base'!F41</f>
        <v>190.8</v>
      </c>
      <c r="F41" s="9">
        <f>'Control F100'!F41</f>
        <v>173.4</v>
      </c>
      <c r="G41" s="9">
        <f t="shared" si="3"/>
        <v>-17.400000000000006</v>
      </c>
    </row>
    <row r="42" spans="1:7" x14ac:dyDescent="0.25">
      <c r="A42" s="10">
        <f>'Control base'!A42</f>
        <v>41</v>
      </c>
      <c r="B42" s="9">
        <f>'Control base'!E42</f>
        <v>1113.5999999999999</v>
      </c>
      <c r="C42" s="9">
        <f>'Control F100'!E42</f>
        <v>1068</v>
      </c>
      <c r="D42" s="9">
        <f t="shared" si="2"/>
        <v>-45.599999999999909</v>
      </c>
      <c r="E42" s="9">
        <f>'Control base'!F42</f>
        <v>190.9</v>
      </c>
      <c r="F42" s="9">
        <f>'Control F100'!F42</f>
        <v>178.6</v>
      </c>
      <c r="G42" s="9">
        <f t="shared" si="3"/>
        <v>-12.300000000000011</v>
      </c>
    </row>
    <row r="43" spans="1:7" x14ac:dyDescent="0.25">
      <c r="A43" s="10">
        <f>'Control base'!A43</f>
        <v>42</v>
      </c>
      <c r="B43" s="9">
        <f>'Control base'!E43</f>
        <v>1105</v>
      </c>
      <c r="C43" s="9">
        <f>'Control F100'!E43</f>
        <v>1064.2</v>
      </c>
      <c r="D43" s="9">
        <f t="shared" si="2"/>
        <v>-40.799999999999955</v>
      </c>
      <c r="E43" s="9">
        <f>'Control base'!F43</f>
        <v>184.3</v>
      </c>
      <c r="F43" s="9">
        <f>'Control F100'!F43</f>
        <v>175.5</v>
      </c>
      <c r="G43" s="9">
        <f t="shared" si="3"/>
        <v>-8.8000000000000114</v>
      </c>
    </row>
    <row r="44" spans="1:7" x14ac:dyDescent="0.25">
      <c r="A44" s="10">
        <f>'Control base'!A44</f>
        <v>43</v>
      </c>
      <c r="B44" s="9">
        <f>'Control base'!E44</f>
        <v>1113</v>
      </c>
      <c r="C44" s="9">
        <f>'Control F100'!E44</f>
        <v>1061.7</v>
      </c>
      <c r="D44" s="9">
        <f t="shared" si="2"/>
        <v>-51.299999999999955</v>
      </c>
      <c r="E44" s="9">
        <f>'Control base'!F44</f>
        <v>191</v>
      </c>
      <c r="F44" s="9">
        <f>'Control F100'!F44</f>
        <v>173.3</v>
      </c>
      <c r="G44" s="9">
        <f t="shared" si="3"/>
        <v>-17.699999999999989</v>
      </c>
    </row>
    <row r="45" spans="1:7" x14ac:dyDescent="0.25">
      <c r="A45" s="10">
        <f>'Control base'!A45</f>
        <v>44</v>
      </c>
      <c r="B45" s="9">
        <f>'Control base'!E45</f>
        <v>1111.5999999999999</v>
      </c>
      <c r="C45" s="9">
        <f>'Control F100'!E45</f>
        <v>1067.5</v>
      </c>
      <c r="D45" s="9">
        <f t="shared" si="2"/>
        <v>-44.099999999999909</v>
      </c>
      <c r="E45" s="9">
        <f>'Control base'!F45</f>
        <v>189.6</v>
      </c>
      <c r="F45" s="9">
        <f>'Control F100'!F45</f>
        <v>178.3</v>
      </c>
      <c r="G45" s="9">
        <f t="shared" si="3"/>
        <v>-11.299999999999983</v>
      </c>
    </row>
    <row r="46" spans="1:7" x14ac:dyDescent="0.25">
      <c r="A46" s="10">
        <f>'Control base'!A46</f>
        <v>45</v>
      </c>
      <c r="B46" s="9">
        <f>'Control base'!E46</f>
        <v>1117.4000000000001</v>
      </c>
      <c r="C46" s="9">
        <f>'Control F100'!E46</f>
        <v>1065.9000000000001</v>
      </c>
      <c r="D46" s="9">
        <f t="shared" si="2"/>
        <v>-51.5</v>
      </c>
      <c r="E46" s="9">
        <f>'Control base'!F46</f>
        <v>194.7</v>
      </c>
      <c r="F46" s="9">
        <f>'Control F100'!F46</f>
        <v>176.7</v>
      </c>
      <c r="G46" s="9">
        <f t="shared" si="3"/>
        <v>-18</v>
      </c>
    </row>
    <row r="47" spans="1:7" x14ac:dyDescent="0.25">
      <c r="A47" s="10">
        <f>'Control base'!A47</f>
        <v>46</v>
      </c>
      <c r="B47" s="9">
        <f>'Control base'!E47</f>
        <v>1109.8</v>
      </c>
      <c r="C47" s="9">
        <f>'Control F100'!E47</f>
        <v>1065.5</v>
      </c>
      <c r="D47" s="9">
        <f t="shared" si="2"/>
        <v>-44.299999999999955</v>
      </c>
      <c r="E47" s="9">
        <f>'Control base'!F47</f>
        <v>187.4</v>
      </c>
      <c r="F47" s="9">
        <f>'Control F100'!F47</f>
        <v>176.9</v>
      </c>
      <c r="G47" s="9">
        <f t="shared" si="3"/>
        <v>-10.5</v>
      </c>
    </row>
    <row r="48" spans="1:7" x14ac:dyDescent="0.25">
      <c r="A48" s="10">
        <f>'Control base'!A48</f>
        <v>47</v>
      </c>
      <c r="B48" s="9">
        <f>'Control base'!E48</f>
        <v>1110</v>
      </c>
      <c r="C48" s="9">
        <f>'Control F100'!E48</f>
        <v>1065.3</v>
      </c>
      <c r="D48" s="9">
        <f t="shared" si="2"/>
        <v>-44.700000000000045</v>
      </c>
      <c r="E48" s="9">
        <f>'Control base'!F48</f>
        <v>187.9</v>
      </c>
      <c r="F48" s="9">
        <f>'Control F100'!F48</f>
        <v>176.3</v>
      </c>
      <c r="G48" s="9">
        <f t="shared" si="3"/>
        <v>-11.599999999999994</v>
      </c>
    </row>
    <row r="49" spans="1:7" x14ac:dyDescent="0.25">
      <c r="A49" s="10">
        <f>'Control base'!A49</f>
        <v>48</v>
      </c>
      <c r="B49" s="9">
        <f>'Control base'!E49</f>
        <v>1117.5999999999999</v>
      </c>
      <c r="C49" s="9">
        <f>'Control F100'!E49</f>
        <v>1066</v>
      </c>
      <c r="D49" s="9">
        <f t="shared" si="2"/>
        <v>-51.599999999999909</v>
      </c>
      <c r="E49" s="9">
        <f>'Control base'!F49</f>
        <v>195.7</v>
      </c>
      <c r="F49" s="9">
        <f>'Control F100'!F49</f>
        <v>176.8</v>
      </c>
      <c r="G49" s="9">
        <f t="shared" si="3"/>
        <v>-18.899999999999977</v>
      </c>
    </row>
    <row r="50" spans="1:7" x14ac:dyDescent="0.25">
      <c r="A50" s="10">
        <f>'Control base'!A50</f>
        <v>49</v>
      </c>
      <c r="B50" s="9">
        <f>'Control base'!E50</f>
        <v>1106.8</v>
      </c>
      <c r="C50" s="9">
        <f>'Control F100'!E50</f>
        <v>1064.7</v>
      </c>
      <c r="D50" s="9">
        <f t="shared" si="2"/>
        <v>-42.099999999999909</v>
      </c>
      <c r="E50" s="9">
        <f>'Control base'!F50</f>
        <v>185.3</v>
      </c>
      <c r="F50" s="9">
        <f>'Control F100'!F50</f>
        <v>176.3</v>
      </c>
      <c r="G50" s="9">
        <f t="shared" si="3"/>
        <v>-9</v>
      </c>
    </row>
    <row r="51" spans="1:7" x14ac:dyDescent="0.25">
      <c r="A51" s="10">
        <f>'Control base'!A51</f>
        <v>50</v>
      </c>
      <c r="B51" s="9">
        <f>'Control base'!E51</f>
        <v>1112.7</v>
      </c>
      <c r="C51" s="9">
        <f>'Control F100'!E51</f>
        <v>1066.3</v>
      </c>
      <c r="D51" s="9">
        <f t="shared" si="2"/>
        <v>-46.400000000000091</v>
      </c>
      <c r="E51" s="9">
        <f>'Control base'!F51</f>
        <v>190</v>
      </c>
      <c r="F51" s="9">
        <f>'Control F100'!F51</f>
        <v>176.6</v>
      </c>
      <c r="G51" s="9">
        <f t="shared" si="3"/>
        <v>-13.400000000000006</v>
      </c>
    </row>
    <row r="52" spans="1:7" x14ac:dyDescent="0.25">
      <c r="A52" s="10">
        <f>'Control base'!A52</f>
        <v>51</v>
      </c>
      <c r="B52" s="9">
        <f>'Control base'!E52</f>
        <v>1109.9000000000001</v>
      </c>
      <c r="C52" s="9">
        <f>'Control F100'!E52</f>
        <v>1066.4000000000001</v>
      </c>
      <c r="D52" s="9">
        <f t="shared" si="2"/>
        <v>-43.5</v>
      </c>
      <c r="E52" s="9">
        <f>'Control base'!F52</f>
        <v>187.8</v>
      </c>
      <c r="F52" s="9">
        <f>'Control F100'!F52</f>
        <v>177.3</v>
      </c>
      <c r="G52" s="9">
        <f t="shared" si="3"/>
        <v>-10.5</v>
      </c>
    </row>
    <row r="53" spans="1:7" x14ac:dyDescent="0.25">
      <c r="A53" s="10">
        <f>'Control base'!A53</f>
        <v>52</v>
      </c>
      <c r="B53" s="9">
        <f>'Control base'!E53</f>
        <v>1109.2</v>
      </c>
      <c r="C53" s="9">
        <f>'Control F100'!E53</f>
        <v>1064.3</v>
      </c>
      <c r="D53" s="9">
        <f t="shared" si="2"/>
        <v>-44.900000000000091</v>
      </c>
      <c r="E53" s="9">
        <f>'Control base'!F53</f>
        <v>187.1</v>
      </c>
      <c r="F53" s="9">
        <f>'Control F100'!F53</f>
        <v>175.8</v>
      </c>
      <c r="G53" s="9">
        <f t="shared" si="3"/>
        <v>-11.299999999999983</v>
      </c>
    </row>
    <row r="54" spans="1:7" x14ac:dyDescent="0.25">
      <c r="A54" s="10">
        <f>'Control base'!A54</f>
        <v>53</v>
      </c>
      <c r="B54" s="9">
        <f>'Control base'!E54</f>
        <v>1113.3</v>
      </c>
      <c r="C54" s="9">
        <f>'Control F100'!E54</f>
        <v>1065.9000000000001</v>
      </c>
      <c r="D54" s="9">
        <f t="shared" si="2"/>
        <v>-47.399999999999864</v>
      </c>
      <c r="E54" s="9">
        <f>'Control base'!F54</f>
        <v>191</v>
      </c>
      <c r="F54" s="9">
        <f>'Control F100'!F54</f>
        <v>177.3</v>
      </c>
      <c r="G54" s="9">
        <f t="shared" si="3"/>
        <v>-13.699999999999989</v>
      </c>
    </row>
    <row r="55" spans="1:7" x14ac:dyDescent="0.25">
      <c r="A55" s="10">
        <f>'Control base'!A55</f>
        <v>54</v>
      </c>
      <c r="B55" s="9">
        <f>'Control base'!E55</f>
        <v>1108.8</v>
      </c>
      <c r="C55" s="9">
        <f>'Control F100'!E55</f>
        <v>1070.3</v>
      </c>
      <c r="D55" s="9">
        <f t="shared" si="2"/>
        <v>-38.5</v>
      </c>
      <c r="E55" s="9">
        <f>'Control base'!F55</f>
        <v>186</v>
      </c>
      <c r="F55" s="9">
        <f>'Control F100'!F55</f>
        <v>180.8</v>
      </c>
      <c r="G55" s="9">
        <f t="shared" si="3"/>
        <v>-5.1999999999999886</v>
      </c>
    </row>
    <row r="56" spans="1:7" x14ac:dyDescent="0.25">
      <c r="A56" s="10">
        <f>'Control base'!A56</f>
        <v>55</v>
      </c>
      <c r="B56" s="9">
        <f>'Control base'!E56</f>
        <v>1111.7</v>
      </c>
      <c r="C56" s="9">
        <f>'Control F100'!E56</f>
        <v>1069.5999999999999</v>
      </c>
      <c r="D56" s="9">
        <f t="shared" si="2"/>
        <v>-42.100000000000136</v>
      </c>
      <c r="E56" s="9">
        <f>'Control base'!F56</f>
        <v>189.6</v>
      </c>
      <c r="F56" s="9">
        <f>'Control F100'!F56</f>
        <v>181.1</v>
      </c>
      <c r="G56" s="9">
        <f t="shared" si="3"/>
        <v>-8.5</v>
      </c>
    </row>
    <row r="57" spans="1:7" x14ac:dyDescent="0.25">
      <c r="A57" s="10">
        <f>'Control base'!A57</f>
        <v>56</v>
      </c>
      <c r="B57" s="9">
        <f>'Control base'!E57</f>
        <v>1113.2</v>
      </c>
      <c r="C57" s="9">
        <f>'Control F100'!E57</f>
        <v>1067.2</v>
      </c>
      <c r="D57" s="9">
        <f t="shared" si="2"/>
        <v>-46</v>
      </c>
      <c r="E57" s="9">
        <f>'Control base'!F57</f>
        <v>189.9</v>
      </c>
      <c r="F57" s="9">
        <f>'Control F100'!F57</f>
        <v>177.7</v>
      </c>
      <c r="G57" s="9">
        <f t="shared" si="3"/>
        <v>-12.200000000000017</v>
      </c>
    </row>
    <row r="58" spans="1:7" x14ac:dyDescent="0.25">
      <c r="A58" s="10">
        <f>'Control base'!A58</f>
        <v>57</v>
      </c>
      <c r="B58" s="9">
        <f>'Control base'!E58</f>
        <v>1110.4000000000001</v>
      </c>
      <c r="C58" s="9">
        <f>'Control F100'!E58</f>
        <v>1065</v>
      </c>
      <c r="D58" s="9">
        <f t="shared" si="2"/>
        <v>-45.400000000000091</v>
      </c>
      <c r="E58" s="9">
        <f>'Control base'!F58</f>
        <v>188.3</v>
      </c>
      <c r="F58" s="9">
        <f>'Control F100'!F58</f>
        <v>176.2</v>
      </c>
      <c r="G58" s="9">
        <f t="shared" si="3"/>
        <v>-12.100000000000023</v>
      </c>
    </row>
    <row r="59" spans="1:7" x14ac:dyDescent="0.25">
      <c r="A59" s="10">
        <f>'Control base'!A59</f>
        <v>58</v>
      </c>
      <c r="B59" s="9">
        <f>'Control base'!E59</f>
        <v>1110.0999999999999</v>
      </c>
      <c r="C59" s="9">
        <f>'Control F100'!E59</f>
        <v>1066.2</v>
      </c>
      <c r="D59" s="9">
        <f t="shared" si="2"/>
        <v>-43.899999999999864</v>
      </c>
      <c r="E59" s="9">
        <f>'Control base'!F59</f>
        <v>187.9</v>
      </c>
      <c r="F59" s="9">
        <f>'Control F100'!F59</f>
        <v>177.3</v>
      </c>
      <c r="G59" s="9">
        <f t="shared" si="3"/>
        <v>-10.599999999999994</v>
      </c>
    </row>
    <row r="60" spans="1:7" x14ac:dyDescent="0.25">
      <c r="A60" s="10">
        <f>'Control base'!A60</f>
        <v>59</v>
      </c>
      <c r="B60" s="9">
        <f>'Control base'!E60</f>
        <v>1109.5</v>
      </c>
      <c r="C60" s="9">
        <f>'Control F100'!E60</f>
        <v>1067.2</v>
      </c>
      <c r="D60" s="9">
        <f t="shared" si="2"/>
        <v>-42.299999999999955</v>
      </c>
      <c r="E60" s="9">
        <f>'Control base'!F60</f>
        <v>188.5</v>
      </c>
      <c r="F60" s="9">
        <f>'Control F100'!F60</f>
        <v>177.3</v>
      </c>
      <c r="G60" s="9">
        <f t="shared" si="3"/>
        <v>-11.199999999999989</v>
      </c>
    </row>
    <row r="61" spans="1:7" x14ac:dyDescent="0.25">
      <c r="A61" s="10">
        <f>'Control base'!A61</f>
        <v>60</v>
      </c>
      <c r="B61" s="9">
        <f>'Control base'!E61</f>
        <v>1108.4000000000001</v>
      </c>
      <c r="C61" s="9">
        <f>'Control F100'!E61</f>
        <v>1065.3</v>
      </c>
      <c r="D61" s="9">
        <f t="shared" si="2"/>
        <v>-43.100000000000136</v>
      </c>
      <c r="E61" s="9">
        <f>'Control base'!F61</f>
        <v>187.1</v>
      </c>
      <c r="F61" s="9">
        <f>'Control F100'!F61</f>
        <v>176.6</v>
      </c>
      <c r="G61" s="9">
        <f t="shared" si="3"/>
        <v>-10.5</v>
      </c>
    </row>
    <row r="62" spans="1:7" x14ac:dyDescent="0.25">
      <c r="A62" s="10">
        <f>'Control base'!A62</f>
        <v>61</v>
      </c>
      <c r="B62" s="9">
        <f>'Control base'!E62</f>
        <v>1110.4000000000001</v>
      </c>
      <c r="C62" s="9">
        <f>'Control F100'!E62</f>
        <v>1065.4000000000001</v>
      </c>
      <c r="D62" s="9">
        <f t="shared" si="2"/>
        <v>-45</v>
      </c>
      <c r="E62" s="9">
        <f>'Control base'!F62</f>
        <v>188.2</v>
      </c>
      <c r="F62" s="9">
        <f>'Control F100'!F62</f>
        <v>176.8</v>
      </c>
      <c r="G62" s="9">
        <f t="shared" si="3"/>
        <v>-11.399999999999977</v>
      </c>
    </row>
    <row r="63" spans="1:7" x14ac:dyDescent="0.25">
      <c r="A63" s="10">
        <f>'Control base'!A63</f>
        <v>62</v>
      </c>
      <c r="B63" s="9">
        <f>'Control base'!E63</f>
        <v>1109</v>
      </c>
      <c r="C63" s="9">
        <f>'Control F100'!E63</f>
        <v>1073.2</v>
      </c>
      <c r="D63" s="9">
        <f t="shared" si="2"/>
        <v>-35.799999999999955</v>
      </c>
      <c r="E63" s="9">
        <f>'Control base'!F63</f>
        <v>187.2</v>
      </c>
      <c r="F63" s="9">
        <f>'Control F100'!F63</f>
        <v>184.1</v>
      </c>
      <c r="G63" s="9">
        <f t="shared" si="3"/>
        <v>-3.0999999999999943</v>
      </c>
    </row>
    <row r="64" spans="1:7" x14ac:dyDescent="0.25">
      <c r="A64" s="10">
        <f>'Control base'!A64</f>
        <v>63</v>
      </c>
      <c r="B64" s="9">
        <f>'Control base'!E64</f>
        <v>1113.5</v>
      </c>
      <c r="C64" s="9">
        <f>'Control F100'!E64</f>
        <v>1067.0999999999999</v>
      </c>
      <c r="D64" s="9">
        <f t="shared" si="2"/>
        <v>-46.400000000000091</v>
      </c>
      <c r="E64" s="9">
        <f>'Control base'!F64</f>
        <v>190.8</v>
      </c>
      <c r="F64" s="9">
        <f>'Control F100'!F64</f>
        <v>178.9</v>
      </c>
      <c r="G64" s="9">
        <f t="shared" si="3"/>
        <v>-11.900000000000006</v>
      </c>
    </row>
    <row r="65" spans="1:7" x14ac:dyDescent="0.25">
      <c r="A65" s="10">
        <f>'Control base'!A65</f>
        <v>64</v>
      </c>
      <c r="B65" s="9">
        <f>'Control base'!E65</f>
        <v>1107</v>
      </c>
      <c r="C65" s="9">
        <f>'Control F100'!E65</f>
        <v>1063.4000000000001</v>
      </c>
      <c r="D65" s="9">
        <f t="shared" si="2"/>
        <v>-43.599999999999909</v>
      </c>
      <c r="E65" s="9">
        <f>'Control base'!F65</f>
        <v>184.6</v>
      </c>
      <c r="F65" s="9">
        <f>'Control F100'!F65</f>
        <v>174.3</v>
      </c>
      <c r="G65" s="9">
        <f t="shared" si="3"/>
        <v>-10.299999999999983</v>
      </c>
    </row>
    <row r="66" spans="1:7" x14ac:dyDescent="0.25">
      <c r="A66" s="10">
        <f>'Control base'!A66</f>
        <v>65</v>
      </c>
      <c r="B66" s="9">
        <f>'Control base'!E66</f>
        <v>1111</v>
      </c>
      <c r="C66" s="9">
        <f>'Control F100'!E66</f>
        <v>1066.3</v>
      </c>
      <c r="D66" s="9">
        <f t="shared" ref="D66:D97" si="4">C66-B66</f>
        <v>-44.700000000000045</v>
      </c>
      <c r="E66" s="9">
        <f>'Control base'!F66</f>
        <v>188.9</v>
      </c>
      <c r="F66" s="9">
        <f>'Control F100'!F66</f>
        <v>177.7</v>
      </c>
      <c r="G66" s="9">
        <f t="shared" ref="G66:G97" si="5">F66-E66</f>
        <v>-11.200000000000017</v>
      </c>
    </row>
    <row r="67" spans="1:7" x14ac:dyDescent="0.25">
      <c r="A67" s="10">
        <f>'Control base'!A67</f>
        <v>66</v>
      </c>
      <c r="B67" s="9">
        <f>'Control base'!E67</f>
        <v>1110.0999999999999</v>
      </c>
      <c r="C67" s="9">
        <f>'Control F100'!E67</f>
        <v>1063.3</v>
      </c>
      <c r="D67" s="9">
        <f t="shared" si="4"/>
        <v>-46.799999999999955</v>
      </c>
      <c r="E67" s="9">
        <f>'Control base'!F67</f>
        <v>188.8</v>
      </c>
      <c r="F67" s="9">
        <f>'Control F100'!F67</f>
        <v>174.4</v>
      </c>
      <c r="G67" s="9">
        <f t="shared" si="5"/>
        <v>-14.400000000000006</v>
      </c>
    </row>
    <row r="68" spans="1:7" x14ac:dyDescent="0.25">
      <c r="A68" s="10">
        <f>'Control base'!A68</f>
        <v>67</v>
      </c>
      <c r="B68" s="9">
        <f>'Control base'!E68</f>
        <v>1109.5</v>
      </c>
      <c r="C68" s="9">
        <f>'Control F100'!E68</f>
        <v>1065.7</v>
      </c>
      <c r="D68" s="9">
        <f t="shared" si="4"/>
        <v>-43.799999999999955</v>
      </c>
      <c r="E68" s="9">
        <f>'Control base'!F68</f>
        <v>188.1</v>
      </c>
      <c r="F68" s="9">
        <f>'Control F100'!F68</f>
        <v>176.1</v>
      </c>
      <c r="G68" s="9">
        <f t="shared" si="5"/>
        <v>-12</v>
      </c>
    </row>
    <row r="69" spans="1:7" x14ac:dyDescent="0.25">
      <c r="A69" s="10">
        <f>'Control base'!A69</f>
        <v>68</v>
      </c>
      <c r="B69" s="9">
        <f>'Control base'!E69</f>
        <v>1111.5</v>
      </c>
      <c r="C69" s="9">
        <f>'Control F100'!E69</f>
        <v>1068.5</v>
      </c>
      <c r="D69" s="9">
        <f t="shared" si="4"/>
        <v>-43</v>
      </c>
      <c r="E69" s="9">
        <f>'Control base'!F69</f>
        <v>189.6</v>
      </c>
      <c r="F69" s="9">
        <f>'Control F100'!F69</f>
        <v>179.7</v>
      </c>
      <c r="G69" s="9">
        <f t="shared" si="5"/>
        <v>-9.9000000000000057</v>
      </c>
    </row>
    <row r="70" spans="1:7" x14ac:dyDescent="0.25">
      <c r="A70" s="10">
        <f>'Control base'!A70</f>
        <v>69</v>
      </c>
      <c r="B70" s="9">
        <f>'Control base'!E70</f>
        <v>1113.0999999999999</v>
      </c>
      <c r="C70" s="9">
        <f>'Control F100'!E70</f>
        <v>1067</v>
      </c>
      <c r="D70" s="9">
        <f t="shared" si="4"/>
        <v>-46.099999999999909</v>
      </c>
      <c r="E70" s="9">
        <f>'Control base'!F70</f>
        <v>190</v>
      </c>
      <c r="F70" s="9">
        <f>'Control F100'!F70</f>
        <v>177.9</v>
      </c>
      <c r="G70" s="9">
        <f t="shared" si="5"/>
        <v>-12.099999999999994</v>
      </c>
    </row>
    <row r="71" spans="1:7" x14ac:dyDescent="0.25">
      <c r="A71" s="10">
        <f>'Control base'!A71</f>
        <v>70</v>
      </c>
      <c r="B71" s="9">
        <f>'Control base'!E71</f>
        <v>1107</v>
      </c>
      <c r="C71" s="9">
        <f>'Control F100'!E71</f>
        <v>1068.2</v>
      </c>
      <c r="D71" s="9">
        <f t="shared" si="4"/>
        <v>-38.799999999999955</v>
      </c>
      <c r="E71" s="9">
        <f>'Control base'!F71</f>
        <v>185.2</v>
      </c>
      <c r="F71" s="9">
        <f>'Control F100'!F71</f>
        <v>178.9</v>
      </c>
      <c r="G71" s="9">
        <f t="shared" si="5"/>
        <v>-6.2999999999999829</v>
      </c>
    </row>
    <row r="72" spans="1:7" x14ac:dyDescent="0.25">
      <c r="A72" s="10">
        <f>'Control base'!A72</f>
        <v>71</v>
      </c>
      <c r="B72" s="9">
        <f>'Control base'!E72</f>
        <v>1110.5</v>
      </c>
      <c r="C72" s="9">
        <f>'Control F100'!E72</f>
        <v>1067.7</v>
      </c>
      <c r="D72" s="9">
        <f t="shared" si="4"/>
        <v>-42.799999999999955</v>
      </c>
      <c r="E72" s="9">
        <f>'Control base'!F72</f>
        <v>188.7</v>
      </c>
      <c r="F72" s="9">
        <f>'Control F100'!F72</f>
        <v>178</v>
      </c>
      <c r="G72" s="9">
        <f t="shared" si="5"/>
        <v>-10.699999999999989</v>
      </c>
    </row>
    <row r="73" spans="1:7" x14ac:dyDescent="0.25">
      <c r="A73" s="10">
        <f>'Control base'!A73</f>
        <v>72</v>
      </c>
      <c r="B73" s="9">
        <f>'Control base'!E73</f>
        <v>1114.0999999999999</v>
      </c>
      <c r="C73" s="9">
        <f>'Control F100'!E73</f>
        <v>1067.5</v>
      </c>
      <c r="D73" s="9">
        <f t="shared" si="4"/>
        <v>-46.599999999999909</v>
      </c>
      <c r="E73" s="9">
        <f>'Control base'!F73</f>
        <v>191.2</v>
      </c>
      <c r="F73" s="9">
        <f>'Control F100'!F73</f>
        <v>178.1</v>
      </c>
      <c r="G73" s="9">
        <f t="shared" si="5"/>
        <v>-13.099999999999994</v>
      </c>
    </row>
    <row r="74" spans="1:7" x14ac:dyDescent="0.25">
      <c r="A74" s="10">
        <f>'Control base'!A74</f>
        <v>73</v>
      </c>
      <c r="B74" s="9">
        <f>'Control base'!E74</f>
        <v>1111.9000000000001</v>
      </c>
      <c r="C74" s="9">
        <f>'Control F100'!E74</f>
        <v>1066.4000000000001</v>
      </c>
      <c r="D74" s="9">
        <f t="shared" si="4"/>
        <v>-45.5</v>
      </c>
      <c r="E74" s="9">
        <f>'Control base'!F74</f>
        <v>190.3</v>
      </c>
      <c r="F74" s="9">
        <f>'Control F100'!F74</f>
        <v>177.8</v>
      </c>
      <c r="G74" s="9">
        <f t="shared" si="5"/>
        <v>-12.5</v>
      </c>
    </row>
    <row r="75" spans="1:7" x14ac:dyDescent="0.25">
      <c r="A75" s="10">
        <f>'Control base'!A75</f>
        <v>74</v>
      </c>
      <c r="B75" s="9">
        <f>'Control base'!E75</f>
        <v>1113.5</v>
      </c>
      <c r="C75" s="9">
        <f>'Control F100'!E75</f>
        <v>1070.8</v>
      </c>
      <c r="D75" s="9">
        <f t="shared" si="4"/>
        <v>-42.700000000000045</v>
      </c>
      <c r="E75" s="9">
        <f>'Control base'!F75</f>
        <v>190.8</v>
      </c>
      <c r="F75" s="9">
        <f>'Control F100'!F75</f>
        <v>181.4</v>
      </c>
      <c r="G75" s="9">
        <f t="shared" si="5"/>
        <v>-9.4000000000000057</v>
      </c>
    </row>
    <row r="76" spans="1:7" x14ac:dyDescent="0.25">
      <c r="A76" s="10">
        <f>'Control base'!A76</f>
        <v>75</v>
      </c>
      <c r="B76" s="9">
        <f>'Control base'!E76</f>
        <v>1111</v>
      </c>
      <c r="C76" s="9">
        <f>'Control F100'!E76</f>
        <v>1066.7</v>
      </c>
      <c r="D76" s="9">
        <f t="shared" si="4"/>
        <v>-44.299999999999955</v>
      </c>
      <c r="E76" s="9">
        <f>'Control base'!F76</f>
        <v>188.7</v>
      </c>
      <c r="F76" s="9">
        <f>'Control F100'!F76</f>
        <v>177.8</v>
      </c>
      <c r="G76" s="9">
        <f t="shared" si="5"/>
        <v>-10.899999999999977</v>
      </c>
    </row>
    <row r="77" spans="1:7" x14ac:dyDescent="0.25">
      <c r="A77" s="10">
        <f>'Control base'!A77</f>
        <v>76</v>
      </c>
      <c r="B77" s="9">
        <f>'Control base'!E77</f>
        <v>1110.2</v>
      </c>
      <c r="C77" s="9">
        <f>'Control F100'!E77</f>
        <v>1069.8</v>
      </c>
      <c r="D77" s="9">
        <f t="shared" si="4"/>
        <v>-40.400000000000091</v>
      </c>
      <c r="E77" s="9">
        <f>'Control base'!F77</f>
        <v>187.9</v>
      </c>
      <c r="F77" s="9">
        <f>'Control F100'!F77</f>
        <v>180.5</v>
      </c>
      <c r="G77" s="9">
        <f t="shared" si="5"/>
        <v>-7.4000000000000057</v>
      </c>
    </row>
    <row r="78" spans="1:7" x14ac:dyDescent="0.25">
      <c r="A78" s="10">
        <f>'Control base'!A78</f>
        <v>77</v>
      </c>
      <c r="B78" s="9">
        <f>'Control base'!E78</f>
        <v>1113.3</v>
      </c>
      <c r="C78" s="9">
        <f>'Control F100'!E78</f>
        <v>1062.8</v>
      </c>
      <c r="D78" s="9">
        <f t="shared" si="4"/>
        <v>-50.5</v>
      </c>
      <c r="E78" s="9">
        <f>'Control base'!F78</f>
        <v>191.5</v>
      </c>
      <c r="F78" s="9">
        <f>'Control F100'!F78</f>
        <v>174.1</v>
      </c>
      <c r="G78" s="9">
        <f t="shared" si="5"/>
        <v>-17.400000000000006</v>
      </c>
    </row>
    <row r="79" spans="1:7" x14ac:dyDescent="0.25">
      <c r="A79" s="10">
        <f>'Control base'!A79</f>
        <v>78</v>
      </c>
      <c r="B79" s="9">
        <f>'Control base'!E79</f>
        <v>1114.7</v>
      </c>
      <c r="C79" s="9">
        <f>'Control F100'!E79</f>
        <v>1067.3</v>
      </c>
      <c r="D79" s="9">
        <f t="shared" si="4"/>
        <v>-47.400000000000091</v>
      </c>
      <c r="E79" s="9">
        <f>'Control base'!F79</f>
        <v>191.9</v>
      </c>
      <c r="F79" s="9">
        <f>'Control F100'!F79</f>
        <v>177.6</v>
      </c>
      <c r="G79" s="9">
        <f t="shared" si="5"/>
        <v>-14.300000000000011</v>
      </c>
    </row>
    <row r="80" spans="1:7" x14ac:dyDescent="0.25">
      <c r="A80" s="10">
        <f>'Control base'!A80</f>
        <v>79</v>
      </c>
      <c r="B80" s="9">
        <f>'Control base'!E80</f>
        <v>1109.7</v>
      </c>
      <c r="C80" s="9">
        <f>'Control F100'!E80</f>
        <v>1069.4000000000001</v>
      </c>
      <c r="D80" s="9">
        <f t="shared" si="4"/>
        <v>-40.299999999999955</v>
      </c>
      <c r="E80" s="9">
        <f>'Control base'!F80</f>
        <v>186.5</v>
      </c>
      <c r="F80" s="9">
        <f>'Control F100'!F80</f>
        <v>180.6</v>
      </c>
      <c r="G80" s="9">
        <f t="shared" si="5"/>
        <v>-5.9000000000000057</v>
      </c>
    </row>
    <row r="81" spans="1:7" x14ac:dyDescent="0.25">
      <c r="A81" s="10">
        <f>'Control base'!A81</f>
        <v>80</v>
      </c>
      <c r="B81" s="9">
        <f>'Control base'!E81</f>
        <v>1108</v>
      </c>
      <c r="C81" s="9">
        <f>'Control F100'!E81</f>
        <v>1065.0999999999999</v>
      </c>
      <c r="D81" s="9">
        <f t="shared" si="4"/>
        <v>-42.900000000000091</v>
      </c>
      <c r="E81" s="9">
        <f>'Control base'!F81</f>
        <v>185.4</v>
      </c>
      <c r="F81" s="9">
        <f>'Control F100'!F81</f>
        <v>175.9</v>
      </c>
      <c r="G81" s="9">
        <f t="shared" si="5"/>
        <v>-9.5</v>
      </c>
    </row>
    <row r="82" spans="1:7" x14ac:dyDescent="0.25">
      <c r="A82" s="10">
        <f>'Control base'!A82</f>
        <v>81</v>
      </c>
      <c r="B82" s="9">
        <f>'Control base'!E82</f>
        <v>1110.2</v>
      </c>
      <c r="C82" s="9">
        <f>'Control F100'!E82</f>
        <v>1068.0999999999999</v>
      </c>
      <c r="D82" s="9">
        <f t="shared" si="4"/>
        <v>-42.100000000000136</v>
      </c>
      <c r="E82" s="9">
        <f>'Control base'!F82</f>
        <v>187.3</v>
      </c>
      <c r="F82" s="9">
        <f>'Control F100'!F82</f>
        <v>178.7</v>
      </c>
      <c r="G82" s="9">
        <f t="shared" si="5"/>
        <v>-8.6000000000000227</v>
      </c>
    </row>
    <row r="83" spans="1:7" x14ac:dyDescent="0.25">
      <c r="A83" s="10">
        <f>'Control base'!A83</f>
        <v>82</v>
      </c>
      <c r="B83" s="9">
        <f>'Control base'!E83</f>
        <v>1110.3</v>
      </c>
      <c r="C83" s="9">
        <f>'Control F100'!E83</f>
        <v>1065.7</v>
      </c>
      <c r="D83" s="9">
        <f t="shared" si="4"/>
        <v>-44.599999999999909</v>
      </c>
      <c r="E83" s="9">
        <f>'Control base'!F83</f>
        <v>187.7</v>
      </c>
      <c r="F83" s="9">
        <f>'Control F100'!F83</f>
        <v>176.5</v>
      </c>
      <c r="G83" s="9">
        <f t="shared" si="5"/>
        <v>-11.199999999999989</v>
      </c>
    </row>
    <row r="84" spans="1:7" x14ac:dyDescent="0.25">
      <c r="A84" s="10">
        <f>'Control base'!A84</f>
        <v>83</v>
      </c>
      <c r="B84" s="9">
        <f>'Control base'!E84</f>
        <v>1110.0999999999999</v>
      </c>
      <c r="C84" s="9">
        <f>'Control F100'!E84</f>
        <v>1068.4000000000001</v>
      </c>
      <c r="D84" s="9">
        <f t="shared" si="4"/>
        <v>-41.699999999999818</v>
      </c>
      <c r="E84" s="9">
        <f>'Control base'!F84</f>
        <v>188.2</v>
      </c>
      <c r="F84" s="9">
        <f>'Control F100'!F84</f>
        <v>178.9</v>
      </c>
      <c r="G84" s="9">
        <f t="shared" si="5"/>
        <v>-9.2999999999999829</v>
      </c>
    </row>
    <row r="85" spans="1:7" x14ac:dyDescent="0.25">
      <c r="A85" s="10">
        <f>'Control base'!A85</f>
        <v>84</v>
      </c>
      <c r="B85" s="9">
        <f>'Control base'!E85</f>
        <v>1108.2</v>
      </c>
      <c r="C85" s="9">
        <f>'Control F100'!E85</f>
        <v>1064</v>
      </c>
      <c r="D85" s="9">
        <f t="shared" si="4"/>
        <v>-44.200000000000045</v>
      </c>
      <c r="E85" s="9">
        <f>'Control base'!F85</f>
        <v>185.8</v>
      </c>
      <c r="F85" s="9">
        <f>'Control F100'!F85</f>
        <v>175.2</v>
      </c>
      <c r="G85" s="9">
        <f t="shared" si="5"/>
        <v>-10.600000000000023</v>
      </c>
    </row>
    <row r="86" spans="1:7" x14ac:dyDescent="0.25">
      <c r="A86" s="10">
        <f>'Control base'!A86</f>
        <v>85</v>
      </c>
      <c r="B86" s="9">
        <f>'Control base'!E86</f>
        <v>1111.3</v>
      </c>
      <c r="C86" s="9">
        <f>'Control F100'!E86</f>
        <v>1070.5</v>
      </c>
      <c r="D86" s="9">
        <f t="shared" si="4"/>
        <v>-40.799999999999955</v>
      </c>
      <c r="E86" s="9">
        <f>'Control base'!F86</f>
        <v>189.2</v>
      </c>
      <c r="F86" s="9">
        <f>'Control F100'!F86</f>
        <v>182.2</v>
      </c>
      <c r="G86" s="9">
        <f t="shared" si="5"/>
        <v>-7</v>
      </c>
    </row>
    <row r="87" spans="1:7" x14ac:dyDescent="0.25">
      <c r="A87" s="10">
        <f>'Control base'!A87</f>
        <v>86</v>
      </c>
      <c r="B87" s="9">
        <f>'Control base'!E87</f>
        <v>1111</v>
      </c>
      <c r="C87" s="9">
        <f>'Control F100'!E87</f>
        <v>1063.9000000000001</v>
      </c>
      <c r="D87" s="9">
        <f t="shared" si="4"/>
        <v>-47.099999999999909</v>
      </c>
      <c r="E87" s="9">
        <f>'Control base'!F87</f>
        <v>188.3</v>
      </c>
      <c r="F87" s="9">
        <f>'Control F100'!F87</f>
        <v>175</v>
      </c>
      <c r="G87" s="9">
        <f t="shared" si="5"/>
        <v>-13.300000000000011</v>
      </c>
    </row>
    <row r="88" spans="1:7" x14ac:dyDescent="0.25">
      <c r="A88" s="10">
        <f>'Control base'!A88</f>
        <v>87</v>
      </c>
      <c r="B88" s="9">
        <f>'Control base'!E88</f>
        <v>1110.4000000000001</v>
      </c>
      <c r="C88" s="9">
        <f>'Control F100'!E88</f>
        <v>1063.4000000000001</v>
      </c>
      <c r="D88" s="9">
        <f t="shared" si="4"/>
        <v>-47</v>
      </c>
      <c r="E88" s="9">
        <f>'Control base'!F88</f>
        <v>188.3</v>
      </c>
      <c r="F88" s="9">
        <f>'Control F100'!F88</f>
        <v>174.8</v>
      </c>
      <c r="G88" s="9">
        <f t="shared" si="5"/>
        <v>-13.5</v>
      </c>
    </row>
    <row r="89" spans="1:7" x14ac:dyDescent="0.25">
      <c r="A89" s="10">
        <f>'Control base'!A89</f>
        <v>88</v>
      </c>
      <c r="B89" s="9">
        <f>'Control base'!E89</f>
        <v>1111</v>
      </c>
      <c r="C89" s="9">
        <f>'Control F100'!E89</f>
        <v>1065.3</v>
      </c>
      <c r="D89" s="9">
        <f t="shared" si="4"/>
        <v>-45.700000000000045</v>
      </c>
      <c r="E89" s="9">
        <f>'Control base'!F89</f>
        <v>189.4</v>
      </c>
      <c r="F89" s="9">
        <f>'Control F100'!F89</f>
        <v>176</v>
      </c>
      <c r="G89" s="9">
        <f t="shared" si="5"/>
        <v>-13.400000000000006</v>
      </c>
    </row>
    <row r="90" spans="1:7" x14ac:dyDescent="0.25">
      <c r="A90" s="10">
        <f>'Control base'!A90</f>
        <v>89</v>
      </c>
      <c r="B90" s="9">
        <f>'Control base'!E90</f>
        <v>1111.8</v>
      </c>
      <c r="C90" s="9">
        <f>'Control F100'!E90</f>
        <v>1065</v>
      </c>
      <c r="D90" s="9">
        <f t="shared" si="4"/>
        <v>-46.799999999999955</v>
      </c>
      <c r="E90" s="9">
        <f>'Control base'!F90</f>
        <v>188.7</v>
      </c>
      <c r="F90" s="9">
        <f>'Control F100'!F90</f>
        <v>176.1</v>
      </c>
      <c r="G90" s="9">
        <f t="shared" si="5"/>
        <v>-12.599999999999994</v>
      </c>
    </row>
    <row r="91" spans="1:7" x14ac:dyDescent="0.25">
      <c r="A91" s="10">
        <f>'Control base'!A91</f>
        <v>90</v>
      </c>
      <c r="B91" s="9">
        <f>'Control base'!E91</f>
        <v>1108.8</v>
      </c>
      <c r="C91" s="9">
        <f>'Control F100'!E91</f>
        <v>1066.4000000000001</v>
      </c>
      <c r="D91" s="9">
        <f t="shared" si="4"/>
        <v>-42.399999999999864</v>
      </c>
      <c r="E91" s="9">
        <f>'Control base'!F91</f>
        <v>187.9</v>
      </c>
      <c r="F91" s="9">
        <f>'Control F100'!F91</f>
        <v>177.4</v>
      </c>
      <c r="G91" s="9">
        <f t="shared" si="5"/>
        <v>-10.5</v>
      </c>
    </row>
    <row r="92" spans="1:7" x14ac:dyDescent="0.25">
      <c r="A92" s="10">
        <f>'Control base'!A92</f>
        <v>91</v>
      </c>
      <c r="B92" s="9">
        <f>'Control base'!E92</f>
        <v>1109.8</v>
      </c>
      <c r="C92" s="9">
        <f>'Control F100'!E92</f>
        <v>1063.3</v>
      </c>
      <c r="D92" s="9">
        <f t="shared" si="4"/>
        <v>-46.5</v>
      </c>
      <c r="E92" s="9">
        <f>'Control base'!F92</f>
        <v>187.4</v>
      </c>
      <c r="F92" s="9">
        <f>'Control F100'!F92</f>
        <v>174.5</v>
      </c>
      <c r="G92" s="9">
        <f t="shared" si="5"/>
        <v>-12.900000000000006</v>
      </c>
    </row>
    <row r="93" spans="1:7" x14ac:dyDescent="0.25">
      <c r="A93" s="10">
        <f>'Control base'!A93</f>
        <v>92</v>
      </c>
      <c r="B93" s="9">
        <f>'Control base'!E93</f>
        <v>1109.5999999999999</v>
      </c>
      <c r="C93" s="9">
        <f>'Control F100'!E93</f>
        <v>1066.2</v>
      </c>
      <c r="D93" s="9">
        <f t="shared" si="4"/>
        <v>-43.399999999999864</v>
      </c>
      <c r="E93" s="9">
        <f>'Control base'!F93</f>
        <v>187.5</v>
      </c>
      <c r="F93" s="9">
        <f>'Control F100'!F93</f>
        <v>177.1</v>
      </c>
      <c r="G93" s="9">
        <f t="shared" si="5"/>
        <v>-10.400000000000006</v>
      </c>
    </row>
    <row r="94" spans="1:7" x14ac:dyDescent="0.25">
      <c r="A94" s="10">
        <f>'Control base'!A94</f>
        <v>93</v>
      </c>
      <c r="B94" s="9">
        <f>'Control base'!E94</f>
        <v>1108.9000000000001</v>
      </c>
      <c r="C94" s="9">
        <f>'Control F100'!E94</f>
        <v>1066.2</v>
      </c>
      <c r="D94" s="9">
        <f t="shared" si="4"/>
        <v>-42.700000000000045</v>
      </c>
      <c r="E94" s="9">
        <f>'Control base'!F94</f>
        <v>186.9</v>
      </c>
      <c r="F94" s="9">
        <f>'Control F100'!F94</f>
        <v>176.1</v>
      </c>
      <c r="G94" s="9">
        <f t="shared" si="5"/>
        <v>-10.800000000000011</v>
      </c>
    </row>
    <row r="95" spans="1:7" x14ac:dyDescent="0.25">
      <c r="A95" s="10">
        <f>'Control base'!A95</f>
        <v>94</v>
      </c>
      <c r="B95" s="9">
        <f>'Control base'!E95</f>
        <v>1111.9000000000001</v>
      </c>
      <c r="C95" s="9">
        <f>'Control F100'!E95</f>
        <v>1065.4000000000001</v>
      </c>
      <c r="D95" s="9">
        <f t="shared" si="4"/>
        <v>-46.5</v>
      </c>
      <c r="E95" s="9">
        <f>'Control base'!F95</f>
        <v>189.7</v>
      </c>
      <c r="F95" s="9">
        <f>'Control F100'!F95</f>
        <v>176.6</v>
      </c>
      <c r="G95" s="9">
        <f t="shared" si="5"/>
        <v>-13.099999999999994</v>
      </c>
    </row>
    <row r="96" spans="1:7" x14ac:dyDescent="0.25">
      <c r="A96" s="10">
        <f>'Control base'!A96</f>
        <v>95</v>
      </c>
      <c r="B96" s="9">
        <f>'Control base'!E96</f>
        <v>1114.5</v>
      </c>
      <c r="C96" s="9">
        <f>'Control F100'!E96</f>
        <v>1062.8</v>
      </c>
      <c r="D96" s="9">
        <f t="shared" si="4"/>
        <v>-51.700000000000045</v>
      </c>
      <c r="E96" s="9">
        <f>'Control base'!F96</f>
        <v>192.1</v>
      </c>
      <c r="F96" s="9">
        <f>'Control F100'!F96</f>
        <v>174.3</v>
      </c>
      <c r="G96" s="9">
        <f t="shared" si="5"/>
        <v>-17.799999999999983</v>
      </c>
    </row>
    <row r="97" spans="1:7" x14ac:dyDescent="0.25">
      <c r="A97" s="10">
        <f>'Control base'!A97</f>
        <v>96</v>
      </c>
      <c r="B97" s="9">
        <f>'Control base'!E97</f>
        <v>1107.5</v>
      </c>
      <c r="C97" s="9">
        <f>'Control F100'!E97</f>
        <v>1064.4000000000001</v>
      </c>
      <c r="D97" s="9">
        <f t="shared" si="4"/>
        <v>-43.099999999999909</v>
      </c>
      <c r="E97" s="9">
        <f>'Control base'!F97</f>
        <v>185.6</v>
      </c>
      <c r="F97" s="9">
        <f>'Control F100'!F97</f>
        <v>175.8</v>
      </c>
      <c r="G97" s="9">
        <f t="shared" si="5"/>
        <v>-9.7999999999999829</v>
      </c>
    </row>
    <row r="98" spans="1:7" x14ac:dyDescent="0.25">
      <c r="A98" s="10">
        <f>'Control base'!A98</f>
        <v>97</v>
      </c>
      <c r="B98" s="9">
        <f>'Control base'!E98</f>
        <v>1112.2</v>
      </c>
      <c r="C98" s="9">
        <f>'Control F100'!E98</f>
        <v>1062.8</v>
      </c>
      <c r="D98" s="9">
        <f t="shared" ref="D98:D129" si="6">C98-B98</f>
        <v>-49.400000000000091</v>
      </c>
      <c r="E98" s="9">
        <f>'Control base'!F98</f>
        <v>189.4</v>
      </c>
      <c r="F98" s="9">
        <f>'Control F100'!F98</f>
        <v>174</v>
      </c>
      <c r="G98" s="9">
        <f t="shared" ref="G98:G129" si="7">F98-E98</f>
        <v>-15.400000000000006</v>
      </c>
    </row>
    <row r="99" spans="1:7" x14ac:dyDescent="0.25">
      <c r="A99" s="10">
        <f>'Control base'!A99</f>
        <v>98</v>
      </c>
      <c r="B99" s="9">
        <f>'Control base'!E99</f>
        <v>1113</v>
      </c>
      <c r="C99" s="9">
        <f>'Control F100'!E99</f>
        <v>1066.3</v>
      </c>
      <c r="D99" s="9">
        <f t="shared" si="6"/>
        <v>-46.700000000000045</v>
      </c>
      <c r="E99" s="9">
        <f>'Control base'!F99</f>
        <v>190.4</v>
      </c>
      <c r="F99" s="9">
        <f>'Control F100'!F99</f>
        <v>176.6</v>
      </c>
      <c r="G99" s="9">
        <f t="shared" si="7"/>
        <v>-13.800000000000011</v>
      </c>
    </row>
    <row r="100" spans="1:7" x14ac:dyDescent="0.25">
      <c r="A100" s="10">
        <f>'Control base'!A100</f>
        <v>99</v>
      </c>
      <c r="B100" s="9">
        <f>'Control base'!E100</f>
        <v>1108.5</v>
      </c>
      <c r="C100" s="9">
        <f>'Control F100'!E100</f>
        <v>1060.9000000000001</v>
      </c>
      <c r="D100" s="9">
        <f t="shared" si="6"/>
        <v>-47.599999999999909</v>
      </c>
      <c r="E100" s="9">
        <f>'Control base'!F100</f>
        <v>185.7</v>
      </c>
      <c r="F100" s="9">
        <f>'Control F100'!F100</f>
        <v>171.9</v>
      </c>
      <c r="G100" s="9">
        <f t="shared" si="7"/>
        <v>-13.799999999999983</v>
      </c>
    </row>
    <row r="101" spans="1:7" x14ac:dyDescent="0.25">
      <c r="A101" s="10">
        <f>'Control base'!A101</f>
        <v>100</v>
      </c>
      <c r="B101" s="9">
        <f>'Control base'!E101</f>
        <v>1110</v>
      </c>
      <c r="C101" s="9">
        <f>'Control F100'!E101</f>
        <v>1066.0999999999999</v>
      </c>
      <c r="D101" s="9">
        <f t="shared" si="6"/>
        <v>-43.900000000000091</v>
      </c>
      <c r="E101" s="9">
        <f>'Control base'!F101</f>
        <v>187.7</v>
      </c>
      <c r="F101" s="9">
        <f>'Control F100'!F101</f>
        <v>178.1</v>
      </c>
      <c r="G101" s="9">
        <f t="shared" si="7"/>
        <v>-9.5999999999999943</v>
      </c>
    </row>
  </sheetData>
  <mergeCells count="2">
    <mergeCell ref="I18:S18"/>
    <mergeCell ref="I8:P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4"/>
  <sheetViews>
    <sheetView workbookViewId="0">
      <pane ySplit="1" topLeftCell="A2" activePane="bottomLeft" state="frozen"/>
      <selection pane="bottomLeft"/>
    </sheetView>
  </sheetViews>
  <sheetFormatPr baseColWidth="10" defaultColWidth="9.140625" defaultRowHeight="15" x14ac:dyDescent="0.25"/>
  <cols>
    <col min="1" max="1" width="26" customWidth="1"/>
    <col min="2" max="2" width="50" customWidth="1"/>
    <col min="3" max="16" width="12" customWidth="1"/>
  </cols>
  <sheetData>
    <row r="1" spans="1:16" ht="17.25" x14ac:dyDescent="0.3">
      <c r="A1" s="4" t="s">
        <v>82</v>
      </c>
    </row>
    <row r="2" spans="1:16" ht="48" customHeight="1" x14ac:dyDescent="0.25">
      <c r="A2" s="19" t="s">
        <v>83</v>
      </c>
      <c r="B2" s="20"/>
      <c r="C2" s="20"/>
      <c r="D2" s="20"/>
      <c r="E2" s="20"/>
      <c r="F2" s="20"/>
      <c r="G2" s="20"/>
      <c r="H2" s="20"/>
      <c r="I2" s="20"/>
      <c r="J2" s="20"/>
      <c r="K2" s="20"/>
      <c r="L2" s="20"/>
      <c r="M2" s="20"/>
      <c r="N2" s="20"/>
      <c r="O2" s="20"/>
      <c r="P2" s="20"/>
    </row>
    <row r="4" spans="1:16" ht="45" customHeight="1" x14ac:dyDescent="0.25">
      <c r="A4" s="7" t="s">
        <v>84</v>
      </c>
      <c r="B4" s="7" t="s">
        <v>85</v>
      </c>
      <c r="C4" s="7" t="s">
        <v>86</v>
      </c>
      <c r="D4" s="7" t="s">
        <v>35</v>
      </c>
      <c r="E4" s="7" t="s">
        <v>36</v>
      </c>
      <c r="F4" s="7" t="s">
        <v>37</v>
      </c>
      <c r="G4" s="7" t="s">
        <v>87</v>
      </c>
      <c r="H4" s="7" t="s">
        <v>35</v>
      </c>
      <c r="I4" s="7" t="s">
        <v>36</v>
      </c>
      <c r="J4" s="7" t="s">
        <v>37</v>
      </c>
      <c r="K4" s="7" t="s">
        <v>88</v>
      </c>
      <c r="L4" s="7" t="s">
        <v>35</v>
      </c>
      <c r="M4" s="7" t="s">
        <v>89</v>
      </c>
      <c r="N4" s="7" t="s">
        <v>35</v>
      </c>
      <c r="O4" s="7" t="s">
        <v>90</v>
      </c>
      <c r="P4" s="7" t="s">
        <v>53</v>
      </c>
    </row>
    <row r="5" spans="1:16" ht="45" customHeight="1" x14ac:dyDescent="0.25">
      <c r="A5" s="2" t="s">
        <v>91</v>
      </c>
      <c r="B5" s="3" t="s">
        <v>92</v>
      </c>
      <c r="C5" s="9">
        <f>AVERAGE('Efecto F100'!$D$2:$D$101)</f>
        <v>-44.80299999999999</v>
      </c>
      <c r="D5" s="9">
        <f>_xlfn.STDEV.S('Efecto F100'!$D$2:$D$101)</f>
        <v>2.9571503823509575</v>
      </c>
      <c r="E5" s="10">
        <f>COUNT('Efecto F100'!$D$2:$D$101)</f>
        <v>100</v>
      </c>
      <c r="F5" s="9">
        <f t="shared" ref="F5:F12" si="0">z_95*D5/SQRT(E5)</f>
        <v>0.57960147494078762</v>
      </c>
      <c r="G5" s="9">
        <f>AVERAGE('Efecto F100'!$G$2:$G$101)</f>
        <v>-11.618000000000002</v>
      </c>
      <c r="H5" s="9">
        <f>_xlfn.STDEV.S('Efecto F100'!$G$2:$G$101)</f>
        <v>2.8397033562531</v>
      </c>
      <c r="I5" s="10">
        <f>COUNT('Efecto F100'!$G$2:$G$101)</f>
        <v>100</v>
      </c>
      <c r="J5" s="9">
        <f t="shared" ref="J5:J12" si="1">z_95*H5/SQRT(I5)</f>
        <v>0.55658185782560765</v>
      </c>
      <c r="K5" s="13">
        <v>12435.8</v>
      </c>
      <c r="L5" s="9">
        <v>325.68</v>
      </c>
      <c r="M5" s="13">
        <v>5639.3</v>
      </c>
      <c r="N5" s="9">
        <v>186.52</v>
      </c>
      <c r="O5" s="14">
        <f t="shared" ref="O5:O12" si="2">100*(M5/K5-1)</f>
        <v>-54.65269624792937</v>
      </c>
      <c r="P5" s="14">
        <f t="shared" ref="P5:P12" si="3">100*z_95*(M5/K5)*SQRT((N5/M5)^2/I5+(L5/K5)^2/I5)</f>
        <v>0.37496879045795317</v>
      </c>
    </row>
    <row r="6" spans="1:16" ht="45" customHeight="1" x14ac:dyDescent="0.25">
      <c r="A6" s="2" t="s">
        <v>93</v>
      </c>
      <c r="B6" s="3" t="s">
        <v>94</v>
      </c>
      <c r="C6" s="9">
        <f>AVERAGE('Sensibilidad réplicas'!$D$2:$D$101)</f>
        <v>-45.310999999999986</v>
      </c>
      <c r="D6" s="9">
        <f>_xlfn.STDEV.S('Sensibilidad réplicas'!$D$2:$D$101)</f>
        <v>2.7133748414664254</v>
      </c>
      <c r="E6" s="10">
        <f>COUNT('Sensibilidad réplicas'!$D$2:$D$101)</f>
        <v>100</v>
      </c>
      <c r="F6" s="9">
        <f t="shared" si="0"/>
        <v>0.53182146892741933</v>
      </c>
      <c r="G6" s="9">
        <f>AVERAGE('Sensibilidad réplicas'!$G$2:$G$101)</f>
        <v>-11.965</v>
      </c>
      <c r="H6" s="9">
        <f>_xlfn.STDEV.S('Sensibilidad réplicas'!$G$2:$G$101)</f>
        <v>2.6073468460789049</v>
      </c>
      <c r="I6" s="10">
        <f>COUNT('Sensibilidad réplicas'!$G$2:$G$101)</f>
        <v>100</v>
      </c>
      <c r="J6" s="9">
        <f t="shared" si="1"/>
        <v>0.51103998183146537</v>
      </c>
      <c r="K6" s="13">
        <v>11986.98</v>
      </c>
      <c r="L6" s="9">
        <v>271.2</v>
      </c>
      <c r="M6" s="13">
        <v>5483.2</v>
      </c>
      <c r="N6" s="9">
        <v>129.69999999999999</v>
      </c>
      <c r="O6" s="14">
        <f t="shared" si="2"/>
        <v>-54.257035550238676</v>
      </c>
      <c r="P6" s="14">
        <f t="shared" si="3"/>
        <v>0.29346289776499168</v>
      </c>
    </row>
    <row r="7" spans="1:16" ht="45" customHeight="1" x14ac:dyDescent="0.25">
      <c r="A7" s="2" t="s">
        <v>95</v>
      </c>
      <c r="B7" s="3" t="s">
        <v>96</v>
      </c>
      <c r="C7" s="9">
        <f>AVERAGE('Sensibilidad réplicas'!$J$2:$J$101)</f>
        <v>-47.77600000000001</v>
      </c>
      <c r="D7" s="9">
        <f>_xlfn.STDEV.S('Sensibilidad réplicas'!$J$2:$J$101)</f>
        <v>2.9615079424052491</v>
      </c>
      <c r="E7" s="10">
        <f>COUNT('Sensibilidad réplicas'!$J$2:$J$101)</f>
        <v>100</v>
      </c>
      <c r="F7" s="9">
        <f t="shared" si="0"/>
        <v>0.58045555671142879</v>
      </c>
      <c r="G7" s="9">
        <f>AVERAGE('Sensibilidad réplicas'!$M$2:$M$101)</f>
        <v>-14.233000000000006</v>
      </c>
      <c r="H7" s="9">
        <f>_xlfn.STDEV.S('Sensibilidad réplicas'!$M$2:$M$101)</f>
        <v>2.8549462660123797</v>
      </c>
      <c r="I7" s="10">
        <f>COUNT('Sensibilidad réplicas'!$M$2:$M$101)</f>
        <v>100</v>
      </c>
      <c r="J7" s="9">
        <f t="shared" si="1"/>
        <v>0.55956946813842634</v>
      </c>
      <c r="K7" s="13">
        <v>11861.86</v>
      </c>
      <c r="L7" s="9">
        <v>233.28</v>
      </c>
      <c r="M7" s="13">
        <v>5446.83</v>
      </c>
      <c r="N7" s="9">
        <v>126.14</v>
      </c>
      <c r="O7" s="14">
        <f t="shared" si="2"/>
        <v>-54.081147476028214</v>
      </c>
      <c r="P7" s="14">
        <f t="shared" si="3"/>
        <v>0.27344291866475223</v>
      </c>
    </row>
    <row r="8" spans="1:16" ht="45" customHeight="1" x14ac:dyDescent="0.25">
      <c r="A8" s="2" t="s">
        <v>97</v>
      </c>
      <c r="B8" s="3" t="s">
        <v>98</v>
      </c>
      <c r="C8" s="9">
        <f>AVERAGE('Sensibilidad réplicas'!$P$2:$P$101)</f>
        <v>-44.825999999999986</v>
      </c>
      <c r="D8" s="9">
        <f>_xlfn.STDEV.S('Sensibilidad réplicas'!$P$2:$P$101)</f>
        <v>2.4393085624057966</v>
      </c>
      <c r="E8" s="10">
        <f>COUNT('Sensibilidad réplicas'!$P$2:$P$101)</f>
        <v>100</v>
      </c>
      <c r="F8" s="9">
        <f t="shared" si="0"/>
        <v>0.47810447823153612</v>
      </c>
      <c r="G8" s="9">
        <f>AVERAGE('Sensibilidad réplicas'!$S$2:$S$101)</f>
        <v>-11.619000000000002</v>
      </c>
      <c r="H8" s="9">
        <f>_xlfn.STDEV.S('Sensibilidad réplicas'!$S$2:$S$101)</f>
        <v>2.2722166901219336</v>
      </c>
      <c r="I8" s="10">
        <f>COUNT('Sensibilidad réplicas'!$S$2:$S$101)</f>
        <v>100</v>
      </c>
      <c r="J8" s="9">
        <f t="shared" si="1"/>
        <v>0.44535447126389893</v>
      </c>
      <c r="K8" s="13">
        <v>12405.2</v>
      </c>
      <c r="L8" s="9">
        <v>310.51</v>
      </c>
      <c r="M8" s="13">
        <v>5639.3</v>
      </c>
      <c r="N8" s="9">
        <v>186.52</v>
      </c>
      <c r="O8" s="14">
        <f t="shared" si="2"/>
        <v>-54.540837713217037</v>
      </c>
      <c r="P8" s="14">
        <f t="shared" si="3"/>
        <v>0.3695758394555087</v>
      </c>
    </row>
    <row r="9" spans="1:16" ht="45" customHeight="1" x14ac:dyDescent="0.25">
      <c r="A9" s="2" t="s">
        <v>99</v>
      </c>
      <c r="B9" s="3" t="s">
        <v>100</v>
      </c>
      <c r="C9" s="9">
        <f>AVERAGE('Sensibilidad réplicas'!$V$2:$V$101)</f>
        <v>-44.869000000000014</v>
      </c>
      <c r="D9" s="9">
        <f>_xlfn.STDEV.S('Sensibilidad réplicas'!$V$2:$V$101)</f>
        <v>2.595244096263754</v>
      </c>
      <c r="E9" s="10">
        <f>COUNT('Sensibilidad réplicas'!$V$2:$V$101)</f>
        <v>100</v>
      </c>
      <c r="F9" s="9">
        <f t="shared" si="0"/>
        <v>0.50866784286769584</v>
      </c>
      <c r="G9" s="9">
        <f>AVERAGE('Sensibilidad réplicas'!$Y$2:$Y$101)</f>
        <v>-11.686</v>
      </c>
      <c r="H9" s="9">
        <f>_xlfn.STDEV.S('Sensibilidad réplicas'!$Y$2:$Y$101)</f>
        <v>2.4376267643805294</v>
      </c>
      <c r="I9" s="10">
        <f>COUNT('Sensibilidad réplicas'!$Y$2:$Y$101)</f>
        <v>100</v>
      </c>
      <c r="J9" s="9">
        <f t="shared" si="1"/>
        <v>0.47777484581858376</v>
      </c>
      <c r="K9" s="13">
        <v>12422.61</v>
      </c>
      <c r="L9" s="9">
        <v>321.67</v>
      </c>
      <c r="M9" s="13">
        <v>5639.3</v>
      </c>
      <c r="N9" s="9">
        <v>186.52</v>
      </c>
      <c r="O9" s="14">
        <f t="shared" si="2"/>
        <v>-54.60454767556898</v>
      </c>
      <c r="P9" s="14">
        <f t="shared" si="3"/>
        <v>0.37374326051608409</v>
      </c>
    </row>
    <row r="10" spans="1:16" ht="45" customHeight="1" x14ac:dyDescent="0.25">
      <c r="A10" s="2" t="s">
        <v>101</v>
      </c>
      <c r="B10" s="3" t="s">
        <v>102</v>
      </c>
      <c r="C10" s="9">
        <f>AVERAGE('Sensibilidad réplicas'!$AB$2:$AB$101)</f>
        <v>-44.791999999999987</v>
      </c>
      <c r="D10" s="9">
        <f>_xlfn.STDEV.S('Sensibilidad réplicas'!$AB$2:$AB$101)</f>
        <v>2.9437720596870252</v>
      </c>
      <c r="E10" s="10">
        <f>COUNT('Sensibilidad réplicas'!$AB$2:$AB$101)</f>
        <v>100</v>
      </c>
      <c r="F10" s="9">
        <f t="shared" si="0"/>
        <v>0.5769793236986569</v>
      </c>
      <c r="G10" s="9">
        <f>AVERAGE('Sensibilidad réplicas'!$AE$2:$AE$101)</f>
        <v>-11.605</v>
      </c>
      <c r="H10" s="9">
        <f>_xlfn.STDEV.S('Sensibilidad réplicas'!$AE$2:$AE$101)</f>
        <v>2.8358233265480357</v>
      </c>
      <c r="I10" s="10">
        <f>COUNT('Sensibilidad réplicas'!$AE$2:$AE$101)</f>
        <v>100</v>
      </c>
      <c r="J10" s="9">
        <f t="shared" si="1"/>
        <v>0.55582137200341497</v>
      </c>
      <c r="K10" s="13">
        <v>12435.8</v>
      </c>
      <c r="L10" s="9">
        <v>325.68</v>
      </c>
      <c r="M10" s="13">
        <v>5639.3</v>
      </c>
      <c r="N10" s="9">
        <v>186.52</v>
      </c>
      <c r="O10" s="14">
        <f t="shared" si="2"/>
        <v>-54.65269624792937</v>
      </c>
      <c r="P10" s="14">
        <f t="shared" si="3"/>
        <v>0.37496879045795317</v>
      </c>
    </row>
    <row r="11" spans="1:16" ht="45" customHeight="1" x14ac:dyDescent="0.25">
      <c r="A11" s="2" t="s">
        <v>103</v>
      </c>
      <c r="B11" s="3" t="s">
        <v>104</v>
      </c>
      <c r="C11" s="9">
        <f>AVERAGE('Sensibilidad réplicas'!$AH$2:$AH$101)</f>
        <v>-45.557999999999993</v>
      </c>
      <c r="D11" s="9">
        <f>_xlfn.STDEV.S('Sensibilidad réplicas'!$AH$2:$AH$101)</f>
        <v>3.1260127247910341</v>
      </c>
      <c r="E11" s="10">
        <f>COUNT('Sensibilidad réplicas'!$AH$2:$AH$101)</f>
        <v>100</v>
      </c>
      <c r="F11" s="9">
        <f t="shared" si="0"/>
        <v>0.61269849405904275</v>
      </c>
      <c r="G11" s="9">
        <f>AVERAGE('Sensibilidad réplicas'!$AK$2:$AK$101)</f>
        <v>-11.912999999999993</v>
      </c>
      <c r="H11" s="9">
        <f>_xlfn.STDEV.S('Sensibilidad réplicas'!$AK$2:$AK$101)</f>
        <v>2.9116157130717384</v>
      </c>
      <c r="I11" s="10">
        <f>COUNT('Sensibilidad réplicas'!$AK$2:$AK$101)</f>
        <v>100</v>
      </c>
      <c r="J11" s="9">
        <f t="shared" si="1"/>
        <v>0.57067667976206071</v>
      </c>
      <c r="K11" s="13">
        <v>12435.8</v>
      </c>
      <c r="L11" s="9">
        <v>325.68</v>
      </c>
      <c r="M11" s="13">
        <v>5639.3</v>
      </c>
      <c r="N11" s="9">
        <v>186.52</v>
      </c>
      <c r="O11" s="14">
        <f t="shared" si="2"/>
        <v>-54.65269624792937</v>
      </c>
      <c r="P11" s="14">
        <f t="shared" si="3"/>
        <v>0.37496879045795317</v>
      </c>
    </row>
    <row r="12" spans="1:16" ht="45" customHeight="1" x14ac:dyDescent="0.25">
      <c r="A12" s="2" t="s">
        <v>105</v>
      </c>
      <c r="B12" s="3" t="s">
        <v>106</v>
      </c>
      <c r="C12" s="9">
        <f>AVERAGE('Sensibilidad réplicas'!$AN$2:$AN$101)</f>
        <v>-46.924999999999983</v>
      </c>
      <c r="D12" s="9">
        <f>_xlfn.STDEV.S('Sensibilidad réplicas'!$AN$2:$AN$101)</f>
        <v>3.4980622341432657</v>
      </c>
      <c r="E12" s="10">
        <f>COUNT('Sensibilidad réplicas'!$AN$2:$AN$101)</f>
        <v>100</v>
      </c>
      <c r="F12" s="9">
        <f t="shared" si="0"/>
        <v>0.68562019789208006</v>
      </c>
      <c r="G12" s="9">
        <f>AVERAGE('Sensibilidad réplicas'!$AQ$2:$AQ$101)</f>
        <v>-12.4</v>
      </c>
      <c r="H12" s="9">
        <f>_xlfn.STDEV.S('Sensibilidad réplicas'!$AQ$2:$AQ$101)</f>
        <v>3.0496895023274222</v>
      </c>
      <c r="I12" s="10">
        <f>COUNT('Sensibilidad réplicas'!$AQ$2:$AQ$101)</f>
        <v>100</v>
      </c>
      <c r="J12" s="9">
        <f t="shared" si="1"/>
        <v>0.59773914245617477</v>
      </c>
      <c r="K12" s="13">
        <v>12435.8</v>
      </c>
      <c r="L12" s="9">
        <v>325.68</v>
      </c>
      <c r="M12" s="13">
        <v>5639.3</v>
      </c>
      <c r="N12" s="9">
        <v>186.52</v>
      </c>
      <c r="O12" s="14">
        <f t="shared" si="2"/>
        <v>-54.65269624792937</v>
      </c>
      <c r="P12" s="14">
        <f t="shared" si="3"/>
        <v>0.37496879045795317</v>
      </c>
    </row>
    <row r="14" spans="1:16" ht="18" customHeight="1" x14ac:dyDescent="0.25">
      <c r="A14" s="19" t="s">
        <v>107</v>
      </c>
      <c r="B14" s="20"/>
      <c r="C14" s="20"/>
      <c r="D14" s="20"/>
      <c r="E14" s="20"/>
      <c r="F14" s="20"/>
      <c r="G14" s="20"/>
      <c r="H14" s="20"/>
      <c r="I14" s="20"/>
      <c r="J14" s="20"/>
      <c r="K14" s="20"/>
      <c r="L14" s="20"/>
      <c r="M14" s="20"/>
      <c r="N14" s="20"/>
      <c r="O14" s="20"/>
      <c r="P14" s="20"/>
    </row>
  </sheetData>
  <mergeCells count="2">
    <mergeCell ref="A14:P14"/>
    <mergeCell ref="A2:P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36"/>
  <sheetViews>
    <sheetView workbookViewId="0">
      <pane ySplit="1" topLeftCell="A2" activePane="bottomLeft" state="frozen"/>
      <selection pane="bottomLeft"/>
    </sheetView>
  </sheetViews>
  <sheetFormatPr baseColWidth="10" defaultColWidth="9.140625" defaultRowHeight="15" x14ac:dyDescent="0.25"/>
  <cols>
    <col min="1" max="1" width="46" customWidth="1"/>
    <col min="2" max="2" width="26" customWidth="1"/>
    <col min="3" max="16" width="13" customWidth="1"/>
  </cols>
  <sheetData>
    <row r="1" spans="1:16" ht="17.25" x14ac:dyDescent="0.3">
      <c r="A1" s="4" t="s">
        <v>108</v>
      </c>
    </row>
    <row r="2" spans="1:16" ht="48" customHeight="1" x14ac:dyDescent="0.25">
      <c r="A2" s="19" t="s">
        <v>109</v>
      </c>
      <c r="B2" s="20"/>
      <c r="C2" s="20"/>
      <c r="D2" s="20"/>
      <c r="E2" s="20"/>
      <c r="F2" s="20"/>
      <c r="G2" s="20"/>
      <c r="H2" s="20"/>
      <c r="I2" s="20"/>
      <c r="J2" s="20"/>
      <c r="K2" s="20"/>
      <c r="L2" s="20"/>
      <c r="M2" s="20"/>
      <c r="N2" s="20"/>
      <c r="O2" s="20"/>
      <c r="P2" s="20"/>
    </row>
    <row r="3" spans="1:16" ht="30" customHeight="1" x14ac:dyDescent="0.25">
      <c r="A3" s="19" t="s">
        <v>110</v>
      </c>
      <c r="B3" s="20"/>
      <c r="C3" s="20"/>
      <c r="D3" s="20"/>
      <c r="E3" s="20"/>
      <c r="F3" s="20"/>
      <c r="G3" s="20"/>
      <c r="H3" s="20"/>
      <c r="I3" s="20"/>
      <c r="J3" s="20"/>
      <c r="K3" s="20"/>
      <c r="L3" s="20"/>
      <c r="M3" s="20"/>
      <c r="N3" s="20"/>
      <c r="O3" s="20"/>
      <c r="P3" s="20"/>
    </row>
    <row r="5" spans="1:16" x14ac:dyDescent="0.25">
      <c r="A5" s="5" t="s">
        <v>111</v>
      </c>
    </row>
    <row r="6" spans="1:16" ht="45" customHeight="1" x14ac:dyDescent="0.25">
      <c r="A6" s="7" t="s">
        <v>112</v>
      </c>
      <c r="B6" s="7" t="s">
        <v>68</v>
      </c>
      <c r="C6" s="7" t="s">
        <v>113</v>
      </c>
      <c r="D6" s="7" t="s">
        <v>114</v>
      </c>
      <c r="E6" s="7" t="s">
        <v>115</v>
      </c>
      <c r="F6" s="7" t="s">
        <v>116</v>
      </c>
      <c r="G6" s="7" t="s">
        <v>117</v>
      </c>
      <c r="H6" s="7" t="s">
        <v>118</v>
      </c>
      <c r="I6" s="7" t="s">
        <v>119</v>
      </c>
      <c r="J6" s="7" t="s">
        <v>120</v>
      </c>
      <c r="K6" s="7" t="s">
        <v>121</v>
      </c>
      <c r="L6" s="7" t="s">
        <v>37</v>
      </c>
      <c r="M6" s="7" t="s">
        <v>38</v>
      </c>
      <c r="N6" s="7" t="s">
        <v>39</v>
      </c>
      <c r="O6" s="7" t="s">
        <v>122</v>
      </c>
    </row>
    <row r="7" spans="1:16" x14ac:dyDescent="0.25">
      <c r="A7" t="s">
        <v>123</v>
      </c>
      <c r="B7" t="s">
        <v>124</v>
      </c>
      <c r="C7" s="14">
        <f>F31</f>
        <v>167.36</v>
      </c>
      <c r="D7" s="14">
        <f>F32</f>
        <v>0.48120219820316268</v>
      </c>
      <c r="E7" s="10">
        <f>F33</f>
        <v>10</v>
      </c>
      <c r="F7" s="14">
        <f>F49</f>
        <v>164.01</v>
      </c>
      <c r="G7" s="14">
        <f>F50</f>
        <v>0.44833023542919909</v>
      </c>
      <c r="H7" s="10">
        <f>F51</f>
        <v>10</v>
      </c>
      <c r="I7" s="14">
        <f t="shared" ref="I7:I16" si="0">F7-C7</f>
        <v>-3.3500000000000227</v>
      </c>
      <c r="J7" s="14">
        <f t="shared" ref="J7:J16" si="1">(D7^2/E7+G7^2/H7)^2/((D7^2/E7)^2/(E7-1)+(G7^2/H7)^2/(H7-1))</f>
        <v>17.910626788366997</v>
      </c>
      <c r="K7" s="16">
        <f t="shared" ref="K7:K16" si="2">_xlfn.T.INV.2T(0.05,J7)</f>
        <v>2.109815577833317</v>
      </c>
      <c r="L7" s="14">
        <f t="shared" ref="L7:L16" si="3">K7*SQRT(D7^2/E7+G7^2/H7)</f>
        <v>0.43879881064634846</v>
      </c>
      <c r="M7" s="14">
        <f t="shared" ref="M7:M16" si="4">I7-L7</f>
        <v>-3.7887988106463713</v>
      </c>
      <c r="N7" s="14">
        <f t="shared" ref="N7:N16" si="5">I7+L7</f>
        <v>-2.9112011893536742</v>
      </c>
      <c r="O7" s="14">
        <f t="shared" ref="O7:O16" si="6">100*I7/C7</f>
        <v>-2.0016730401529772</v>
      </c>
    </row>
    <row r="8" spans="1:16" x14ac:dyDescent="0.25">
      <c r="A8" t="s">
        <v>123</v>
      </c>
      <c r="B8" t="s">
        <v>125</v>
      </c>
      <c r="C8" s="14">
        <f>K31</f>
        <v>162.59</v>
      </c>
      <c r="D8" s="14">
        <f>K32</f>
        <v>1.2661841186108065</v>
      </c>
      <c r="E8" s="10">
        <f>K33</f>
        <v>10</v>
      </c>
      <c r="F8" s="14">
        <f>K49</f>
        <v>158.80000000000001</v>
      </c>
      <c r="G8" s="14">
        <f>K50</f>
        <v>1.1556623882239825</v>
      </c>
      <c r="H8" s="10">
        <f>K51</f>
        <v>10</v>
      </c>
      <c r="I8" s="14">
        <f t="shared" si="0"/>
        <v>-3.789999999999992</v>
      </c>
      <c r="J8" s="14">
        <f t="shared" si="1"/>
        <v>17.851905251022988</v>
      </c>
      <c r="K8" s="16">
        <f t="shared" si="2"/>
        <v>2.109815577833317</v>
      </c>
      <c r="L8" s="14">
        <f t="shared" si="3"/>
        <v>1.1437414702050355</v>
      </c>
      <c r="M8" s="14">
        <f t="shared" si="4"/>
        <v>-4.9337414702050273</v>
      </c>
      <c r="N8" s="14">
        <f t="shared" si="5"/>
        <v>-2.6462585297949568</v>
      </c>
      <c r="O8" s="14">
        <f t="shared" si="6"/>
        <v>-2.3310166676917352</v>
      </c>
    </row>
    <row r="9" spans="1:16" x14ac:dyDescent="0.25">
      <c r="A9" t="s">
        <v>126</v>
      </c>
      <c r="B9" t="s">
        <v>124</v>
      </c>
      <c r="C9" s="14">
        <f>F85</f>
        <v>158.67000000000002</v>
      </c>
      <c r="D9" s="14">
        <f>F86</f>
        <v>0.5696977756280619</v>
      </c>
      <c r="E9" s="10">
        <f>F87</f>
        <v>10</v>
      </c>
      <c r="F9" s="14">
        <f>F103</f>
        <v>155.20999999999998</v>
      </c>
      <c r="G9" s="14">
        <f>F104</f>
        <v>0.91098237572902152</v>
      </c>
      <c r="H9" s="10">
        <f>F105</f>
        <v>10</v>
      </c>
      <c r="I9" s="14">
        <f t="shared" si="0"/>
        <v>-3.4600000000000364</v>
      </c>
      <c r="J9" s="14">
        <f t="shared" si="1"/>
        <v>15.105660136457237</v>
      </c>
      <c r="K9" s="16">
        <f t="shared" si="2"/>
        <v>2.1314495455597742</v>
      </c>
      <c r="L9" s="14">
        <f t="shared" si="3"/>
        <v>0.72420509485399975</v>
      </c>
      <c r="M9" s="14">
        <f t="shared" si="4"/>
        <v>-4.1842050948540361</v>
      </c>
      <c r="N9" s="14">
        <f t="shared" si="5"/>
        <v>-2.7357949051460366</v>
      </c>
      <c r="O9" s="14">
        <f t="shared" si="6"/>
        <v>-2.1806264574273877</v>
      </c>
    </row>
    <row r="10" spans="1:16" x14ac:dyDescent="0.25">
      <c r="A10" t="s">
        <v>126</v>
      </c>
      <c r="B10" t="s">
        <v>125</v>
      </c>
      <c r="C10" s="14">
        <f>K85</f>
        <v>163.69</v>
      </c>
      <c r="D10" s="14">
        <f>K86</f>
        <v>0.47946729699624657</v>
      </c>
      <c r="E10" s="10">
        <f>K87</f>
        <v>10</v>
      </c>
      <c r="F10" s="14">
        <f>K103</f>
        <v>159.71999999999997</v>
      </c>
      <c r="G10" s="14">
        <f>K104</f>
        <v>0.62146779660914175</v>
      </c>
      <c r="H10" s="10">
        <f>K105</f>
        <v>10</v>
      </c>
      <c r="I10" s="14">
        <f t="shared" si="0"/>
        <v>-3.9700000000000273</v>
      </c>
      <c r="J10" s="14">
        <f t="shared" si="1"/>
        <v>16.911173130517298</v>
      </c>
      <c r="K10" s="16">
        <f t="shared" si="2"/>
        <v>2.119905299221255</v>
      </c>
      <c r="L10" s="14">
        <f t="shared" si="3"/>
        <v>0.52619410823446611</v>
      </c>
      <c r="M10" s="14">
        <f t="shared" si="4"/>
        <v>-4.4961941082344934</v>
      </c>
      <c r="N10" s="14">
        <f t="shared" si="5"/>
        <v>-3.4438058917655612</v>
      </c>
      <c r="O10" s="14">
        <f t="shared" si="6"/>
        <v>-2.4253161463742607</v>
      </c>
    </row>
    <row r="11" spans="1:16" x14ac:dyDescent="0.25">
      <c r="A11" t="s">
        <v>127</v>
      </c>
      <c r="B11" t="s">
        <v>124</v>
      </c>
      <c r="C11" s="14">
        <f>F31</f>
        <v>167.36</v>
      </c>
      <c r="D11" s="14">
        <f>F32</f>
        <v>0.48120219820316268</v>
      </c>
      <c r="E11" s="10">
        <f>F33</f>
        <v>10</v>
      </c>
      <c r="F11" s="14">
        <f>F67</f>
        <v>167.87</v>
      </c>
      <c r="G11" s="14">
        <f>F68</f>
        <v>0.48773854562550928</v>
      </c>
      <c r="H11" s="10">
        <f>F69</f>
        <v>10</v>
      </c>
      <c r="I11" s="14">
        <f t="shared" si="0"/>
        <v>0.50999999999999091</v>
      </c>
      <c r="J11" s="14">
        <f t="shared" si="1"/>
        <v>17.996724408383308</v>
      </c>
      <c r="K11" s="16">
        <f t="shared" si="2"/>
        <v>2.109815577833317</v>
      </c>
      <c r="L11" s="14">
        <f t="shared" si="3"/>
        <v>0.45712670853055126</v>
      </c>
      <c r="M11" s="14">
        <f t="shared" si="4"/>
        <v>5.2873291469439643E-2</v>
      </c>
      <c r="N11" s="14">
        <f t="shared" si="5"/>
        <v>0.96712670853054217</v>
      </c>
      <c r="O11" s="14">
        <f t="shared" si="6"/>
        <v>0.30473231357552033</v>
      </c>
    </row>
    <row r="12" spans="1:16" x14ac:dyDescent="0.25">
      <c r="A12" t="s">
        <v>127</v>
      </c>
      <c r="B12" t="s">
        <v>125</v>
      </c>
      <c r="C12" s="14">
        <f>K31</f>
        <v>162.59</v>
      </c>
      <c r="D12" s="14">
        <f>K32</f>
        <v>1.2661841186108065</v>
      </c>
      <c r="E12" s="10">
        <f>K33</f>
        <v>10</v>
      </c>
      <c r="F12" s="14">
        <f>K67</f>
        <v>154.68</v>
      </c>
      <c r="G12" s="14">
        <f>K68</f>
        <v>1.397458009705087</v>
      </c>
      <c r="H12" s="10">
        <f>K69</f>
        <v>10</v>
      </c>
      <c r="I12" s="14">
        <f t="shared" si="0"/>
        <v>-7.9099999999999966</v>
      </c>
      <c r="J12" s="14">
        <f t="shared" si="1"/>
        <v>17.827634027941762</v>
      </c>
      <c r="K12" s="16">
        <f t="shared" si="2"/>
        <v>2.109815577833317</v>
      </c>
      <c r="L12" s="14">
        <f t="shared" si="3"/>
        <v>1.2581492285974984</v>
      </c>
      <c r="M12" s="14">
        <f t="shared" si="4"/>
        <v>-9.1681492285974944</v>
      </c>
      <c r="N12" s="14">
        <f t="shared" si="5"/>
        <v>-6.6518507714024979</v>
      </c>
      <c r="O12" s="14">
        <f t="shared" si="6"/>
        <v>-4.8649978473460829</v>
      </c>
    </row>
    <row r="13" spans="1:16" x14ac:dyDescent="0.25">
      <c r="A13" t="s">
        <v>128</v>
      </c>
      <c r="B13" t="s">
        <v>124</v>
      </c>
      <c r="C13" s="14">
        <f>F85</f>
        <v>158.67000000000002</v>
      </c>
      <c r="D13" s="14">
        <f>F86</f>
        <v>0.5696977756280619</v>
      </c>
      <c r="E13" s="10">
        <f>F87</f>
        <v>10</v>
      </c>
      <c r="F13" s="14">
        <f>F114</f>
        <v>156.96666666666667</v>
      </c>
      <c r="G13" s="14">
        <f>F115</f>
        <v>0.4163331998932302</v>
      </c>
      <c r="H13" s="10">
        <f>F116</f>
        <v>3</v>
      </c>
      <c r="I13" s="14">
        <f t="shared" si="0"/>
        <v>-1.7033333333333474</v>
      </c>
      <c r="J13" s="14">
        <f t="shared" si="1"/>
        <v>4.5583715051797657</v>
      </c>
      <c r="K13" s="16">
        <f t="shared" si="2"/>
        <v>2.7764451051977934</v>
      </c>
      <c r="L13" s="14">
        <f t="shared" si="3"/>
        <v>0.83401256129295265</v>
      </c>
      <c r="M13" s="14">
        <f t="shared" si="4"/>
        <v>-2.5373458946262999</v>
      </c>
      <c r="N13" s="14">
        <f t="shared" si="5"/>
        <v>-0.86932077204039471</v>
      </c>
      <c r="O13" s="14">
        <f t="shared" si="6"/>
        <v>-1.0735068590996075</v>
      </c>
    </row>
    <row r="14" spans="1:16" x14ac:dyDescent="0.25">
      <c r="A14" t="s">
        <v>128</v>
      </c>
      <c r="B14" t="s">
        <v>125</v>
      </c>
      <c r="C14" s="14">
        <f>K85</f>
        <v>163.69</v>
      </c>
      <c r="D14" s="14">
        <f>K86</f>
        <v>0.47946729699624657</v>
      </c>
      <c r="E14" s="10">
        <f>K87</f>
        <v>10</v>
      </c>
      <c r="F14" s="14">
        <f>K114</f>
        <v>161.36666666666667</v>
      </c>
      <c r="G14" s="14">
        <f>K115</f>
        <v>0.47258156262526607</v>
      </c>
      <c r="H14" s="10">
        <f>K116</f>
        <v>3</v>
      </c>
      <c r="I14" s="14">
        <f t="shared" si="0"/>
        <v>-2.3233333333333235</v>
      </c>
      <c r="J14" s="14">
        <f t="shared" si="1"/>
        <v>3.3548522478969884</v>
      </c>
      <c r="K14" s="16">
        <f t="shared" si="2"/>
        <v>3.1824463052837091</v>
      </c>
      <c r="L14" s="14">
        <f t="shared" si="3"/>
        <v>0.9933787493972136</v>
      </c>
      <c r="M14" s="14">
        <f t="shared" si="4"/>
        <v>-3.316712082730537</v>
      </c>
      <c r="N14" s="14">
        <f t="shared" si="5"/>
        <v>-1.32995458393611</v>
      </c>
      <c r="O14" s="14">
        <f t="shared" si="6"/>
        <v>-1.4193495835624188</v>
      </c>
    </row>
    <row r="15" spans="1:16" x14ac:dyDescent="0.25">
      <c r="A15" t="s">
        <v>129</v>
      </c>
      <c r="B15" t="s">
        <v>124</v>
      </c>
      <c r="C15" s="14">
        <f>F85</f>
        <v>158.67000000000002</v>
      </c>
      <c r="D15" s="14">
        <f>F86</f>
        <v>0.5696977756280619</v>
      </c>
      <c r="E15" s="10">
        <f>F87</f>
        <v>10</v>
      </c>
      <c r="F15" s="14">
        <f>F132</f>
        <v>158.44</v>
      </c>
      <c r="G15" s="14">
        <f>F133</f>
        <v>0.70898989179441674</v>
      </c>
      <c r="H15" s="10">
        <f>F134</f>
        <v>10</v>
      </c>
      <c r="I15" s="14">
        <f t="shared" si="0"/>
        <v>-0.23000000000001819</v>
      </c>
      <c r="J15" s="14">
        <f t="shared" si="1"/>
        <v>17.20250260553744</v>
      </c>
      <c r="K15" s="16">
        <f t="shared" si="2"/>
        <v>2.109815577833317</v>
      </c>
      <c r="L15" s="14">
        <f t="shared" si="3"/>
        <v>0.60681399855699125</v>
      </c>
      <c r="M15" s="14">
        <f t="shared" si="4"/>
        <v>-0.83681399855700944</v>
      </c>
      <c r="N15" s="14">
        <f t="shared" si="5"/>
        <v>0.37681399855697306</v>
      </c>
      <c r="O15" s="14">
        <f t="shared" si="6"/>
        <v>-0.1449549379214837</v>
      </c>
    </row>
    <row r="16" spans="1:16" x14ac:dyDescent="0.25">
      <c r="A16" t="s">
        <v>129</v>
      </c>
      <c r="B16" t="s">
        <v>125</v>
      </c>
      <c r="C16" s="14">
        <f>K85</f>
        <v>163.69</v>
      </c>
      <c r="D16" s="14">
        <f>K86</f>
        <v>0.47946729699624657</v>
      </c>
      <c r="E16" s="10">
        <f>K87</f>
        <v>10</v>
      </c>
      <c r="F16" s="14">
        <f>K132</f>
        <v>180.14000000000001</v>
      </c>
      <c r="G16" s="14">
        <f>K133</f>
        <v>0.39496835316262624</v>
      </c>
      <c r="H16" s="10">
        <f>K134</f>
        <v>10</v>
      </c>
      <c r="I16" s="14">
        <f t="shared" si="0"/>
        <v>16.450000000000017</v>
      </c>
      <c r="J16" s="14">
        <f t="shared" si="1"/>
        <v>17.363397370143844</v>
      </c>
      <c r="K16" s="16">
        <f t="shared" si="2"/>
        <v>2.109815577833317</v>
      </c>
      <c r="L16" s="14">
        <f t="shared" si="3"/>
        <v>0.41445332823668163</v>
      </c>
      <c r="M16" s="14">
        <f t="shared" si="4"/>
        <v>16.035546671763335</v>
      </c>
      <c r="N16" s="14">
        <f t="shared" si="5"/>
        <v>16.864453328236699</v>
      </c>
      <c r="O16" s="14">
        <f t="shared" si="6"/>
        <v>10.049483780316463</v>
      </c>
    </row>
    <row r="17" spans="1:16" ht="18" customHeight="1" x14ac:dyDescent="0.25">
      <c r="A17" s="19" t="s">
        <v>130</v>
      </c>
      <c r="B17" s="20"/>
      <c r="C17" s="20"/>
      <c r="D17" s="20"/>
      <c r="E17" s="20"/>
      <c r="F17" s="20"/>
      <c r="G17" s="20"/>
      <c r="H17" s="20"/>
      <c r="I17" s="20"/>
      <c r="J17" s="20"/>
      <c r="K17" s="20"/>
      <c r="L17" s="20"/>
      <c r="M17" s="20"/>
      <c r="N17" s="20"/>
      <c r="O17" s="20"/>
      <c r="P17" s="20"/>
    </row>
    <row r="19" spans="1:16" x14ac:dyDescent="0.25">
      <c r="A19" s="5" t="s">
        <v>131</v>
      </c>
    </row>
    <row r="20" spans="1:16" ht="60" customHeight="1" x14ac:dyDescent="0.25">
      <c r="A20" s="7" t="s">
        <v>5</v>
      </c>
      <c r="B20" s="7" t="s">
        <v>132</v>
      </c>
      <c r="C20" s="7" t="s">
        <v>133</v>
      </c>
      <c r="D20" s="7" t="s">
        <v>134</v>
      </c>
      <c r="E20" s="7" t="s">
        <v>135</v>
      </c>
      <c r="F20" s="7" t="s">
        <v>136</v>
      </c>
      <c r="G20" s="7" t="s">
        <v>137</v>
      </c>
      <c r="H20" s="7" t="s">
        <v>138</v>
      </c>
      <c r="I20" s="7" t="s">
        <v>139</v>
      </c>
      <c r="J20" s="7" t="s">
        <v>140</v>
      </c>
      <c r="K20" s="7" t="s">
        <v>141</v>
      </c>
      <c r="L20" s="7" t="s">
        <v>142</v>
      </c>
      <c r="M20" s="7" t="s">
        <v>143</v>
      </c>
      <c r="N20" s="7" t="s">
        <v>144</v>
      </c>
      <c r="O20" s="7" t="s">
        <v>145</v>
      </c>
      <c r="P20" s="7" t="s">
        <v>146</v>
      </c>
    </row>
    <row r="21" spans="1:16" x14ac:dyDescent="0.25">
      <c r="A21" s="10">
        <v>1</v>
      </c>
      <c r="B21" s="13">
        <v>3600</v>
      </c>
      <c r="C21" s="13">
        <v>7325</v>
      </c>
      <c r="D21" s="13">
        <v>7099</v>
      </c>
      <c r="E21" s="13">
        <v>226</v>
      </c>
      <c r="F21" s="14">
        <v>166.4</v>
      </c>
      <c r="G21" s="14">
        <v>165.5</v>
      </c>
      <c r="H21" s="14">
        <v>215.2</v>
      </c>
      <c r="I21" s="14">
        <v>227.8</v>
      </c>
      <c r="J21" s="13">
        <v>753</v>
      </c>
      <c r="K21" s="14">
        <v>162.69999999999999</v>
      </c>
      <c r="L21" s="14">
        <v>161.4</v>
      </c>
      <c r="M21" s="14">
        <v>212.6</v>
      </c>
      <c r="N21" s="14">
        <v>220.7</v>
      </c>
      <c r="O21" s="13">
        <v>343</v>
      </c>
      <c r="P21" s="13">
        <v>4675</v>
      </c>
    </row>
    <row r="22" spans="1:16" x14ac:dyDescent="0.25">
      <c r="A22" s="10">
        <v>2</v>
      </c>
      <c r="B22" s="13">
        <v>3600</v>
      </c>
      <c r="C22" s="13">
        <v>7483</v>
      </c>
      <c r="D22" s="13">
        <v>7223</v>
      </c>
      <c r="E22" s="13">
        <v>260</v>
      </c>
      <c r="F22" s="14">
        <v>167.8</v>
      </c>
      <c r="G22" s="14">
        <v>168.2</v>
      </c>
      <c r="H22" s="14">
        <v>215.6</v>
      </c>
      <c r="I22" s="14">
        <v>228.3</v>
      </c>
      <c r="J22" s="13">
        <v>746</v>
      </c>
      <c r="K22" s="14">
        <v>161.6</v>
      </c>
      <c r="L22" s="14">
        <v>158.9</v>
      </c>
      <c r="M22" s="14">
        <v>215</v>
      </c>
      <c r="N22" s="14">
        <v>226.2</v>
      </c>
      <c r="O22" s="13">
        <v>338</v>
      </c>
      <c r="P22" s="13">
        <v>4724</v>
      </c>
    </row>
    <row r="23" spans="1:16" x14ac:dyDescent="0.25">
      <c r="A23" s="10">
        <v>3</v>
      </c>
      <c r="B23" s="13">
        <v>3600</v>
      </c>
      <c r="C23" s="13">
        <v>7384</v>
      </c>
      <c r="D23" s="13">
        <v>7119</v>
      </c>
      <c r="E23" s="13">
        <v>265</v>
      </c>
      <c r="F23" s="14">
        <v>166.8</v>
      </c>
      <c r="G23" s="14">
        <v>166.8</v>
      </c>
      <c r="H23" s="14">
        <v>215.2</v>
      </c>
      <c r="I23" s="14">
        <v>228.2</v>
      </c>
      <c r="J23" s="13">
        <v>756</v>
      </c>
      <c r="K23" s="14">
        <v>163.4</v>
      </c>
      <c r="L23" s="14">
        <v>163</v>
      </c>
      <c r="M23" s="14">
        <v>213.2</v>
      </c>
      <c r="N23" s="14">
        <v>222</v>
      </c>
      <c r="O23" s="13">
        <v>334</v>
      </c>
      <c r="P23" s="13">
        <v>4758</v>
      </c>
    </row>
    <row r="24" spans="1:16" x14ac:dyDescent="0.25">
      <c r="A24" s="10">
        <v>4</v>
      </c>
      <c r="B24" s="13">
        <v>3600</v>
      </c>
      <c r="C24" s="13">
        <v>7471</v>
      </c>
      <c r="D24" s="13">
        <v>7241</v>
      </c>
      <c r="E24" s="13">
        <v>230</v>
      </c>
      <c r="F24" s="14">
        <v>167.7</v>
      </c>
      <c r="G24" s="14">
        <v>167.1</v>
      </c>
      <c r="H24" s="14">
        <v>215.9</v>
      </c>
      <c r="I24" s="14">
        <v>229.6</v>
      </c>
      <c r="J24" s="13">
        <v>801</v>
      </c>
      <c r="K24" s="14">
        <v>163.6</v>
      </c>
      <c r="L24" s="14">
        <v>162.6</v>
      </c>
      <c r="M24" s="14">
        <v>213.1</v>
      </c>
      <c r="N24" s="14">
        <v>224.2</v>
      </c>
      <c r="O24" s="13">
        <v>334</v>
      </c>
      <c r="P24" s="13">
        <v>4711</v>
      </c>
    </row>
    <row r="25" spans="1:16" x14ac:dyDescent="0.25">
      <c r="A25" s="10">
        <v>5</v>
      </c>
      <c r="B25" s="13">
        <v>3600</v>
      </c>
      <c r="C25" s="13">
        <v>7319</v>
      </c>
      <c r="D25" s="13">
        <v>7070</v>
      </c>
      <c r="E25" s="13">
        <v>249</v>
      </c>
      <c r="F25" s="14">
        <v>167.9</v>
      </c>
      <c r="G25" s="14">
        <v>167.2</v>
      </c>
      <c r="H25" s="14">
        <v>216.9</v>
      </c>
      <c r="I25" s="14">
        <v>228.5</v>
      </c>
      <c r="J25" s="13">
        <v>762</v>
      </c>
      <c r="K25" s="14">
        <v>163.19999999999999</v>
      </c>
      <c r="L25" s="14">
        <v>162.4</v>
      </c>
      <c r="M25" s="14">
        <v>216.6</v>
      </c>
      <c r="N25" s="14">
        <v>227.2</v>
      </c>
      <c r="O25" s="13">
        <v>328</v>
      </c>
      <c r="P25" s="13">
        <v>4713</v>
      </c>
    </row>
    <row r="26" spans="1:16" x14ac:dyDescent="0.25">
      <c r="A26" s="10">
        <v>6</v>
      </c>
      <c r="B26" s="13">
        <v>3600</v>
      </c>
      <c r="C26" s="13">
        <v>7444</v>
      </c>
      <c r="D26" s="13">
        <v>7181</v>
      </c>
      <c r="E26" s="13">
        <v>263</v>
      </c>
      <c r="F26" s="14">
        <v>167.4</v>
      </c>
      <c r="G26" s="14">
        <v>166.9</v>
      </c>
      <c r="H26" s="14">
        <v>216.3</v>
      </c>
      <c r="I26" s="14">
        <v>228.5</v>
      </c>
      <c r="J26" s="13">
        <v>696</v>
      </c>
      <c r="K26" s="14">
        <v>161.19999999999999</v>
      </c>
      <c r="L26" s="14">
        <v>159.19999999999999</v>
      </c>
      <c r="M26" s="14">
        <v>213.7</v>
      </c>
      <c r="N26" s="14">
        <v>222.4</v>
      </c>
      <c r="O26" s="13">
        <v>321</v>
      </c>
      <c r="P26" s="13">
        <v>4785</v>
      </c>
    </row>
    <row r="27" spans="1:16" x14ac:dyDescent="0.25">
      <c r="A27" s="10">
        <v>7</v>
      </c>
      <c r="B27" s="13">
        <v>3600</v>
      </c>
      <c r="C27" s="13">
        <v>7557</v>
      </c>
      <c r="D27" s="13">
        <v>7295</v>
      </c>
      <c r="E27" s="13">
        <v>262</v>
      </c>
      <c r="F27" s="14">
        <v>167.8</v>
      </c>
      <c r="G27" s="14">
        <v>167.6</v>
      </c>
      <c r="H27" s="14">
        <v>217.1</v>
      </c>
      <c r="I27" s="14">
        <v>229.1</v>
      </c>
      <c r="J27" s="13">
        <v>759</v>
      </c>
      <c r="K27" s="14">
        <v>160.1</v>
      </c>
      <c r="L27" s="14">
        <v>157.19999999999999</v>
      </c>
      <c r="M27" s="14">
        <v>211.7</v>
      </c>
      <c r="N27" s="14">
        <v>224.1</v>
      </c>
      <c r="O27" s="13">
        <v>330</v>
      </c>
      <c r="P27" s="13">
        <v>4823</v>
      </c>
    </row>
    <row r="28" spans="1:16" x14ac:dyDescent="0.25">
      <c r="A28" s="10">
        <v>8</v>
      </c>
      <c r="B28" s="13">
        <v>3600</v>
      </c>
      <c r="C28" s="13">
        <v>7282</v>
      </c>
      <c r="D28" s="13">
        <v>7060</v>
      </c>
      <c r="E28" s="13">
        <v>222</v>
      </c>
      <c r="F28" s="14">
        <v>167.4</v>
      </c>
      <c r="G28" s="14">
        <v>167</v>
      </c>
      <c r="H28" s="14">
        <v>216.8</v>
      </c>
      <c r="I28" s="14">
        <v>228.4</v>
      </c>
      <c r="J28" s="13">
        <v>716</v>
      </c>
      <c r="K28" s="14">
        <v>163.4</v>
      </c>
      <c r="L28" s="14">
        <v>162.4</v>
      </c>
      <c r="M28" s="14">
        <v>213.3</v>
      </c>
      <c r="N28" s="14">
        <v>221.6</v>
      </c>
      <c r="O28" s="13">
        <v>320</v>
      </c>
      <c r="P28" s="13">
        <v>4692</v>
      </c>
    </row>
    <row r="29" spans="1:16" x14ac:dyDescent="0.25">
      <c r="A29" s="10">
        <v>9</v>
      </c>
      <c r="B29" s="13">
        <v>3600</v>
      </c>
      <c r="C29" s="13">
        <v>7282</v>
      </c>
      <c r="D29" s="13">
        <v>7039</v>
      </c>
      <c r="E29" s="13">
        <v>243</v>
      </c>
      <c r="F29" s="14">
        <v>167.2</v>
      </c>
      <c r="G29" s="14">
        <v>167</v>
      </c>
      <c r="H29" s="14">
        <v>216.4</v>
      </c>
      <c r="I29" s="14">
        <v>228.5</v>
      </c>
      <c r="J29" s="13">
        <v>776</v>
      </c>
      <c r="K29" s="14">
        <v>164.2</v>
      </c>
      <c r="L29" s="14">
        <v>162.80000000000001</v>
      </c>
      <c r="M29" s="14">
        <v>215.1</v>
      </c>
      <c r="N29" s="14">
        <v>224.4</v>
      </c>
      <c r="O29" s="13">
        <v>319</v>
      </c>
      <c r="P29" s="13">
        <v>4646</v>
      </c>
    </row>
    <row r="30" spans="1:16" x14ac:dyDescent="0.25">
      <c r="A30" s="10">
        <v>10</v>
      </c>
      <c r="B30" s="13">
        <v>3600</v>
      </c>
      <c r="C30" s="13">
        <v>7276</v>
      </c>
      <c r="D30" s="13">
        <v>7056</v>
      </c>
      <c r="E30" s="13">
        <v>220</v>
      </c>
      <c r="F30" s="14">
        <v>167.2</v>
      </c>
      <c r="G30" s="14">
        <v>167.3</v>
      </c>
      <c r="H30" s="14">
        <v>216.6</v>
      </c>
      <c r="I30" s="14">
        <v>228.9</v>
      </c>
      <c r="J30" s="13">
        <v>790</v>
      </c>
      <c r="K30" s="14">
        <v>162.5</v>
      </c>
      <c r="L30" s="14">
        <v>161.69999999999999</v>
      </c>
      <c r="M30" s="14">
        <v>214</v>
      </c>
      <c r="N30" s="14">
        <v>226.7</v>
      </c>
      <c r="O30" s="13">
        <v>317</v>
      </c>
      <c r="P30" s="13">
        <v>4660</v>
      </c>
    </row>
    <row r="31" spans="1:16" x14ac:dyDescent="0.25">
      <c r="A31" s="5" t="s">
        <v>34</v>
      </c>
      <c r="C31" s="13">
        <f t="shared" ref="C31:P31" si="7">AVERAGE(C21:C30)</f>
        <v>7382.3</v>
      </c>
      <c r="D31" s="13">
        <f t="shared" si="7"/>
        <v>7138.3</v>
      </c>
      <c r="E31" s="12">
        <f t="shared" si="7"/>
        <v>244</v>
      </c>
      <c r="F31" s="15">
        <f t="shared" si="7"/>
        <v>167.36</v>
      </c>
      <c r="G31" s="14">
        <f t="shared" si="7"/>
        <v>167.06</v>
      </c>
      <c r="H31" s="14">
        <f t="shared" si="7"/>
        <v>216.2</v>
      </c>
      <c r="I31" s="14">
        <f t="shared" si="7"/>
        <v>228.58</v>
      </c>
      <c r="J31" s="13">
        <f t="shared" si="7"/>
        <v>755.5</v>
      </c>
      <c r="K31" s="15">
        <f t="shared" si="7"/>
        <v>162.59</v>
      </c>
      <c r="L31" s="14">
        <f t="shared" si="7"/>
        <v>161.16000000000003</v>
      </c>
      <c r="M31" s="14">
        <f t="shared" si="7"/>
        <v>213.83</v>
      </c>
      <c r="N31" s="14">
        <f t="shared" si="7"/>
        <v>223.95</v>
      </c>
      <c r="O31" s="13">
        <f t="shared" si="7"/>
        <v>328.4</v>
      </c>
      <c r="P31" s="13">
        <f t="shared" si="7"/>
        <v>4718.7</v>
      </c>
    </row>
    <row r="32" spans="1:16" x14ac:dyDescent="0.25">
      <c r="A32" s="5" t="s">
        <v>35</v>
      </c>
      <c r="C32" s="9">
        <f t="shared" ref="C32:P32" si="8">_xlfn.STDEV.S(C21:C30)</f>
        <v>100.58059234044885</v>
      </c>
      <c r="D32" s="9">
        <f t="shared" si="8"/>
        <v>90.336469810247621</v>
      </c>
      <c r="E32" s="9">
        <f t="shared" si="8"/>
        <v>18.220867158288598</v>
      </c>
      <c r="F32" s="14">
        <f t="shared" si="8"/>
        <v>0.48120219820316268</v>
      </c>
      <c r="G32" s="14">
        <f t="shared" si="8"/>
        <v>0.68345527367275971</v>
      </c>
      <c r="H32" s="14">
        <f t="shared" si="8"/>
        <v>0.69282032302755581</v>
      </c>
      <c r="I32" s="14">
        <f t="shared" si="8"/>
        <v>0.50508525133001825</v>
      </c>
      <c r="J32" s="9">
        <f t="shared" si="8"/>
        <v>31.50396800404673</v>
      </c>
      <c r="K32" s="14">
        <f t="shared" si="8"/>
        <v>1.2661841186108065</v>
      </c>
      <c r="L32" s="14">
        <f t="shared" si="8"/>
        <v>2.0056586615540253</v>
      </c>
      <c r="M32" s="14">
        <f t="shared" si="8"/>
        <v>1.412680666911907</v>
      </c>
      <c r="N32" s="14">
        <f t="shared" si="8"/>
        <v>2.2549944567559335</v>
      </c>
      <c r="O32" s="9">
        <f t="shared" si="8"/>
        <v>8.9094207318869927</v>
      </c>
      <c r="P32" s="9">
        <f t="shared" si="8"/>
        <v>56.067518820317588</v>
      </c>
    </row>
    <row r="33" spans="1:16" x14ac:dyDescent="0.25">
      <c r="A33" s="5" t="s">
        <v>147</v>
      </c>
      <c r="C33" s="10">
        <f t="shared" ref="C33:P33" si="9">COUNT(C21:C30)</f>
        <v>10</v>
      </c>
      <c r="D33" s="10">
        <f t="shared" si="9"/>
        <v>10</v>
      </c>
      <c r="E33" s="10">
        <f t="shared" si="9"/>
        <v>10</v>
      </c>
      <c r="F33" s="10">
        <f t="shared" si="9"/>
        <v>10</v>
      </c>
      <c r="G33" s="10">
        <f t="shared" si="9"/>
        <v>10</v>
      </c>
      <c r="H33" s="10">
        <f t="shared" si="9"/>
        <v>10</v>
      </c>
      <c r="I33" s="10">
        <f t="shared" si="9"/>
        <v>10</v>
      </c>
      <c r="J33" s="10">
        <f t="shared" si="9"/>
        <v>10</v>
      </c>
      <c r="K33" s="10">
        <f t="shared" si="9"/>
        <v>10</v>
      </c>
      <c r="L33" s="10">
        <f t="shared" si="9"/>
        <v>10</v>
      </c>
      <c r="M33" s="10">
        <f t="shared" si="9"/>
        <v>10</v>
      </c>
      <c r="N33" s="10">
        <f t="shared" si="9"/>
        <v>10</v>
      </c>
      <c r="O33" s="10">
        <f t="shared" si="9"/>
        <v>10</v>
      </c>
      <c r="P33" s="10">
        <f t="shared" si="9"/>
        <v>10</v>
      </c>
    </row>
    <row r="34" spans="1:16" x14ac:dyDescent="0.25">
      <c r="A34" s="5" t="s">
        <v>148</v>
      </c>
      <c r="C34" s="16">
        <f t="shared" ref="C34:P34" si="10">_xlfn.T.INV.2T(0.05,C33-1)</f>
        <v>2.2621571627982053</v>
      </c>
      <c r="D34" s="16">
        <f t="shared" si="10"/>
        <v>2.2621571627982053</v>
      </c>
      <c r="E34" s="16">
        <f t="shared" si="10"/>
        <v>2.2621571627982053</v>
      </c>
      <c r="F34" s="16">
        <f t="shared" si="10"/>
        <v>2.2621571627982053</v>
      </c>
      <c r="G34" s="16">
        <f t="shared" si="10"/>
        <v>2.2621571627982053</v>
      </c>
      <c r="H34" s="16">
        <f t="shared" si="10"/>
        <v>2.2621571627982053</v>
      </c>
      <c r="I34" s="16">
        <f t="shared" si="10"/>
        <v>2.2621571627982053</v>
      </c>
      <c r="J34" s="16">
        <f t="shared" si="10"/>
        <v>2.2621571627982053</v>
      </c>
      <c r="K34" s="16">
        <f t="shared" si="10"/>
        <v>2.2621571627982053</v>
      </c>
      <c r="L34" s="16">
        <f t="shared" si="10"/>
        <v>2.2621571627982053</v>
      </c>
      <c r="M34" s="16">
        <f t="shared" si="10"/>
        <v>2.2621571627982053</v>
      </c>
      <c r="N34" s="16">
        <f t="shared" si="10"/>
        <v>2.2621571627982053</v>
      </c>
      <c r="O34" s="16">
        <f t="shared" si="10"/>
        <v>2.2621571627982053</v>
      </c>
      <c r="P34" s="16">
        <f t="shared" si="10"/>
        <v>2.2621571627982053</v>
      </c>
    </row>
    <row r="35" spans="1:16" x14ac:dyDescent="0.25">
      <c r="A35" s="5" t="s">
        <v>37</v>
      </c>
      <c r="C35" s="14">
        <f t="shared" ref="C35:P35" si="11">C34*C32/SQRT(C33)</f>
        <v>71.951021337360231</v>
      </c>
      <c r="D35" s="14">
        <f t="shared" si="11"/>
        <v>64.622817539771106</v>
      </c>
      <c r="E35" s="14">
        <f t="shared" si="11"/>
        <v>13.034423154455832</v>
      </c>
      <c r="F35" s="14">
        <f t="shared" si="11"/>
        <v>0.344231315652897</v>
      </c>
      <c r="G35" s="14">
        <f t="shared" si="11"/>
        <v>0.48891444994387934</v>
      </c>
      <c r="H35" s="14">
        <f t="shared" si="11"/>
        <v>0.49561380267458888</v>
      </c>
      <c r="I35" s="14">
        <f t="shared" si="11"/>
        <v>0.36131622264285751</v>
      </c>
      <c r="J35" s="14">
        <f t="shared" si="11"/>
        <v>22.536581077173686</v>
      </c>
      <c r="K35" s="14">
        <f t="shared" si="11"/>
        <v>0.90577355347861976</v>
      </c>
      <c r="L35" s="14">
        <f t="shared" si="11"/>
        <v>1.4347617745625523</v>
      </c>
      <c r="M35" s="14">
        <f t="shared" si="11"/>
        <v>1.010570871006677</v>
      </c>
      <c r="N35" s="14">
        <f t="shared" si="11"/>
        <v>1.6131258575659246</v>
      </c>
      <c r="O35" s="14">
        <f t="shared" si="11"/>
        <v>6.3734156487535749</v>
      </c>
      <c r="P35" s="14">
        <f t="shared" si="11"/>
        <v>40.108286788754405</v>
      </c>
    </row>
    <row r="37" spans="1:16" x14ac:dyDescent="0.25">
      <c r="A37" s="5" t="s">
        <v>149</v>
      </c>
    </row>
    <row r="38" spans="1:16" ht="60" customHeight="1" x14ac:dyDescent="0.25">
      <c r="A38" s="7" t="s">
        <v>5</v>
      </c>
      <c r="B38" s="7" t="s">
        <v>132</v>
      </c>
      <c r="C38" s="7" t="s">
        <v>133</v>
      </c>
      <c r="D38" s="7" t="s">
        <v>134</v>
      </c>
      <c r="E38" s="7" t="s">
        <v>135</v>
      </c>
      <c r="F38" s="7" t="s">
        <v>136</v>
      </c>
      <c r="G38" s="7" t="s">
        <v>137</v>
      </c>
      <c r="H38" s="7" t="s">
        <v>138</v>
      </c>
      <c r="I38" s="7" t="s">
        <v>139</v>
      </c>
      <c r="J38" s="7" t="s">
        <v>140</v>
      </c>
      <c r="K38" s="7" t="s">
        <v>141</v>
      </c>
      <c r="L38" s="7" t="s">
        <v>142</v>
      </c>
      <c r="M38" s="7" t="s">
        <v>143</v>
      </c>
      <c r="N38" s="7" t="s">
        <v>144</v>
      </c>
      <c r="O38" s="7" t="s">
        <v>145</v>
      </c>
      <c r="P38" s="7" t="s">
        <v>146</v>
      </c>
    </row>
    <row r="39" spans="1:16" x14ac:dyDescent="0.25">
      <c r="A39" s="10">
        <v>1</v>
      </c>
      <c r="B39" s="13">
        <v>3600</v>
      </c>
      <c r="C39" s="13">
        <v>7248</v>
      </c>
      <c r="D39" s="13">
        <v>7047</v>
      </c>
      <c r="E39" s="13">
        <v>201</v>
      </c>
      <c r="F39" s="14">
        <v>163.6</v>
      </c>
      <c r="G39" s="14">
        <v>163.1</v>
      </c>
      <c r="H39" s="14">
        <v>212</v>
      </c>
      <c r="I39" s="14">
        <v>225.2</v>
      </c>
      <c r="J39" s="13">
        <v>731</v>
      </c>
      <c r="K39" s="14">
        <v>158.4</v>
      </c>
      <c r="L39" s="14">
        <v>154</v>
      </c>
      <c r="M39" s="14">
        <v>207.8</v>
      </c>
      <c r="N39" s="14">
        <v>219.2</v>
      </c>
      <c r="O39" s="13">
        <v>333</v>
      </c>
      <c r="P39" s="13">
        <v>4716</v>
      </c>
    </row>
    <row r="40" spans="1:16" x14ac:dyDescent="0.25">
      <c r="A40" s="10">
        <v>2</v>
      </c>
      <c r="B40" s="13">
        <v>3600</v>
      </c>
      <c r="C40" s="13">
        <v>7357</v>
      </c>
      <c r="D40" s="13">
        <v>7123</v>
      </c>
      <c r="E40" s="13">
        <v>234</v>
      </c>
      <c r="F40" s="14">
        <v>164.5</v>
      </c>
      <c r="G40" s="14">
        <v>164.3</v>
      </c>
      <c r="H40" s="14">
        <v>213.6</v>
      </c>
      <c r="I40" s="14">
        <v>224.3</v>
      </c>
      <c r="J40" s="13">
        <v>742</v>
      </c>
      <c r="K40" s="14">
        <v>157.80000000000001</v>
      </c>
      <c r="L40" s="14">
        <v>153.6</v>
      </c>
      <c r="M40" s="14">
        <v>208.8</v>
      </c>
      <c r="N40" s="14">
        <v>218.8</v>
      </c>
      <c r="O40" s="13">
        <v>330</v>
      </c>
      <c r="P40" s="13">
        <v>4777</v>
      </c>
    </row>
    <row r="41" spans="1:16" x14ac:dyDescent="0.25">
      <c r="A41" s="10">
        <v>3</v>
      </c>
      <c r="B41" s="13">
        <v>3600</v>
      </c>
      <c r="C41" s="13">
        <v>7483</v>
      </c>
      <c r="D41" s="13">
        <v>7241</v>
      </c>
      <c r="E41" s="13">
        <v>242</v>
      </c>
      <c r="F41" s="14">
        <v>163.9</v>
      </c>
      <c r="G41" s="14">
        <v>163.4</v>
      </c>
      <c r="H41" s="14">
        <v>212.3</v>
      </c>
      <c r="I41" s="14">
        <v>225</v>
      </c>
      <c r="J41" s="13">
        <v>711</v>
      </c>
      <c r="K41" s="14">
        <v>157.1</v>
      </c>
      <c r="L41" s="14">
        <v>154.5</v>
      </c>
      <c r="M41" s="14">
        <v>210.2</v>
      </c>
      <c r="N41" s="14">
        <v>220</v>
      </c>
      <c r="O41" s="13">
        <v>362</v>
      </c>
      <c r="P41" s="13">
        <v>4814</v>
      </c>
    </row>
    <row r="42" spans="1:16" x14ac:dyDescent="0.25">
      <c r="A42" s="10">
        <v>4</v>
      </c>
      <c r="B42" s="13">
        <v>3600</v>
      </c>
      <c r="C42" s="13">
        <v>7400</v>
      </c>
      <c r="D42" s="13">
        <v>7169</v>
      </c>
      <c r="E42" s="13">
        <v>231</v>
      </c>
      <c r="F42" s="14">
        <v>163.80000000000001</v>
      </c>
      <c r="G42" s="14">
        <v>163.1</v>
      </c>
      <c r="H42" s="14">
        <v>212.9</v>
      </c>
      <c r="I42" s="14">
        <v>225.9</v>
      </c>
      <c r="J42" s="13">
        <v>754</v>
      </c>
      <c r="K42" s="14">
        <v>158.5</v>
      </c>
      <c r="L42" s="14">
        <v>157.30000000000001</v>
      </c>
      <c r="M42" s="14">
        <v>207.4</v>
      </c>
      <c r="N42" s="14">
        <v>216.8</v>
      </c>
      <c r="O42" s="13">
        <v>337</v>
      </c>
      <c r="P42" s="13">
        <v>4936</v>
      </c>
    </row>
    <row r="43" spans="1:16" x14ac:dyDescent="0.25">
      <c r="A43" s="10">
        <v>5</v>
      </c>
      <c r="B43" s="13">
        <v>3600</v>
      </c>
      <c r="C43" s="13">
        <v>7400</v>
      </c>
      <c r="D43" s="13">
        <v>7169</v>
      </c>
      <c r="E43" s="13">
        <v>231</v>
      </c>
      <c r="F43" s="14">
        <v>163.80000000000001</v>
      </c>
      <c r="G43" s="14">
        <v>163.6</v>
      </c>
      <c r="H43" s="14">
        <v>212.9</v>
      </c>
      <c r="I43" s="14">
        <v>224.2</v>
      </c>
      <c r="J43" s="13">
        <v>754</v>
      </c>
      <c r="K43" s="14">
        <v>159</v>
      </c>
      <c r="L43" s="14">
        <v>156.19999999999999</v>
      </c>
      <c r="M43" s="14">
        <v>207.5</v>
      </c>
      <c r="N43" s="14">
        <v>219.9</v>
      </c>
      <c r="O43" s="13">
        <v>327</v>
      </c>
      <c r="P43" s="13">
        <v>4812</v>
      </c>
    </row>
    <row r="44" spans="1:16" x14ac:dyDescent="0.25">
      <c r="A44" s="10">
        <v>6</v>
      </c>
      <c r="B44" s="13">
        <v>3600</v>
      </c>
      <c r="C44" s="13">
        <v>7254</v>
      </c>
      <c r="D44" s="13">
        <v>7024</v>
      </c>
      <c r="E44" s="13">
        <v>230</v>
      </c>
      <c r="F44" s="14">
        <v>164.3</v>
      </c>
      <c r="G44" s="14">
        <v>164.4</v>
      </c>
      <c r="H44" s="14">
        <v>213.1</v>
      </c>
      <c r="I44" s="14">
        <v>224.4</v>
      </c>
      <c r="J44" s="13">
        <v>734</v>
      </c>
      <c r="K44" s="14">
        <v>159</v>
      </c>
      <c r="L44" s="14">
        <v>157</v>
      </c>
      <c r="M44" s="14">
        <v>206.7</v>
      </c>
      <c r="N44" s="14">
        <v>218.4</v>
      </c>
      <c r="O44" s="13">
        <v>324</v>
      </c>
      <c r="P44" s="13">
        <v>4736</v>
      </c>
    </row>
    <row r="45" spans="1:16" x14ac:dyDescent="0.25">
      <c r="A45" s="10">
        <v>7</v>
      </c>
      <c r="B45" s="13">
        <v>3600</v>
      </c>
      <c r="C45" s="13">
        <v>7420</v>
      </c>
      <c r="D45" s="13">
        <v>7154</v>
      </c>
      <c r="E45" s="13">
        <v>266</v>
      </c>
      <c r="F45" s="14">
        <v>164.7</v>
      </c>
      <c r="G45" s="14">
        <v>164.6</v>
      </c>
      <c r="H45" s="14">
        <v>212.4</v>
      </c>
      <c r="I45" s="14">
        <v>224.1</v>
      </c>
      <c r="J45" s="13">
        <v>754</v>
      </c>
      <c r="K45" s="14">
        <v>158.19999999999999</v>
      </c>
      <c r="L45" s="14">
        <v>155.5</v>
      </c>
      <c r="M45" s="14">
        <v>208.9</v>
      </c>
      <c r="N45" s="14">
        <v>219.3</v>
      </c>
      <c r="O45" s="13">
        <v>340</v>
      </c>
      <c r="P45" s="13">
        <v>4847</v>
      </c>
    </row>
    <row r="46" spans="1:16" x14ac:dyDescent="0.25">
      <c r="A46" s="10">
        <v>8</v>
      </c>
      <c r="B46" s="13">
        <v>3600</v>
      </c>
      <c r="C46" s="13">
        <v>7256</v>
      </c>
      <c r="D46" s="13">
        <v>6988</v>
      </c>
      <c r="E46" s="13">
        <v>268</v>
      </c>
      <c r="F46" s="14">
        <v>164.3</v>
      </c>
      <c r="G46" s="14">
        <v>165.2</v>
      </c>
      <c r="H46" s="14">
        <v>213.2</v>
      </c>
      <c r="I46" s="14">
        <v>224.6</v>
      </c>
      <c r="J46" s="13">
        <v>741</v>
      </c>
      <c r="K46" s="14">
        <v>159.6</v>
      </c>
      <c r="L46" s="14">
        <v>155.5</v>
      </c>
      <c r="M46" s="14">
        <v>211.7</v>
      </c>
      <c r="N46" s="14">
        <v>225.6</v>
      </c>
      <c r="O46" s="13">
        <v>326</v>
      </c>
      <c r="P46" s="13">
        <v>4753</v>
      </c>
    </row>
    <row r="47" spans="1:16" x14ac:dyDescent="0.25">
      <c r="A47" s="10">
        <v>9</v>
      </c>
      <c r="B47" s="13">
        <v>3600</v>
      </c>
      <c r="C47" s="13">
        <v>7491</v>
      </c>
      <c r="D47" s="13">
        <v>7246</v>
      </c>
      <c r="E47" s="13">
        <v>245</v>
      </c>
      <c r="F47" s="14">
        <v>164</v>
      </c>
      <c r="G47" s="14">
        <v>163.6</v>
      </c>
      <c r="H47" s="14">
        <v>212.7</v>
      </c>
      <c r="I47" s="14">
        <v>224.7</v>
      </c>
      <c r="J47" s="13">
        <v>715</v>
      </c>
      <c r="K47" s="14">
        <v>159</v>
      </c>
      <c r="L47" s="14">
        <v>157.30000000000001</v>
      </c>
      <c r="M47" s="14">
        <v>208.3</v>
      </c>
      <c r="N47" s="14">
        <v>216.8</v>
      </c>
      <c r="O47" s="13">
        <v>335</v>
      </c>
      <c r="P47" s="13">
        <v>4903</v>
      </c>
    </row>
    <row r="48" spans="1:16" x14ac:dyDescent="0.25">
      <c r="A48" s="10">
        <v>10</v>
      </c>
      <c r="B48" s="13">
        <v>3600</v>
      </c>
      <c r="C48" s="13">
        <v>7351</v>
      </c>
      <c r="D48" s="13">
        <v>7135</v>
      </c>
      <c r="E48" s="13">
        <v>216</v>
      </c>
      <c r="F48" s="14">
        <v>163.19999999999999</v>
      </c>
      <c r="G48" s="14">
        <v>163.4</v>
      </c>
      <c r="H48" s="14">
        <v>210.7</v>
      </c>
      <c r="I48" s="14">
        <v>223.7</v>
      </c>
      <c r="J48" s="13">
        <v>688</v>
      </c>
      <c r="K48" s="14">
        <v>161.4</v>
      </c>
      <c r="L48" s="14">
        <v>159.9</v>
      </c>
      <c r="M48" s="14">
        <v>212.4</v>
      </c>
      <c r="N48" s="14">
        <v>222.5</v>
      </c>
      <c r="O48" s="13">
        <v>343</v>
      </c>
      <c r="P48" s="13">
        <v>4815</v>
      </c>
    </row>
    <row r="49" spans="1:16" x14ac:dyDescent="0.25">
      <c r="A49" s="5" t="s">
        <v>34</v>
      </c>
      <c r="C49" s="13">
        <f t="shared" ref="C49:P49" si="12">AVERAGE(C39:C48)</f>
        <v>7366</v>
      </c>
      <c r="D49" s="13">
        <f t="shared" si="12"/>
        <v>7129.6</v>
      </c>
      <c r="E49" s="13">
        <f t="shared" si="12"/>
        <v>236.4</v>
      </c>
      <c r="F49" s="14">
        <f t="shared" si="12"/>
        <v>164.01</v>
      </c>
      <c r="G49" s="14">
        <f t="shared" si="12"/>
        <v>163.87</v>
      </c>
      <c r="H49" s="14">
        <f t="shared" si="12"/>
        <v>212.58</v>
      </c>
      <c r="I49" s="14">
        <f t="shared" si="12"/>
        <v>224.60999999999999</v>
      </c>
      <c r="J49" s="13">
        <f t="shared" si="12"/>
        <v>732.4</v>
      </c>
      <c r="K49" s="14">
        <f t="shared" si="12"/>
        <v>158.80000000000001</v>
      </c>
      <c r="L49" s="14">
        <f t="shared" si="12"/>
        <v>156.08000000000001</v>
      </c>
      <c r="M49" s="14">
        <f t="shared" si="12"/>
        <v>208.96999999999997</v>
      </c>
      <c r="N49" s="14">
        <f t="shared" si="12"/>
        <v>219.73000000000002</v>
      </c>
      <c r="O49" s="13">
        <f t="shared" si="12"/>
        <v>335.7</v>
      </c>
      <c r="P49" s="13">
        <f t="shared" si="12"/>
        <v>4810.8999999999996</v>
      </c>
    </row>
    <row r="50" spans="1:16" x14ac:dyDescent="0.25">
      <c r="A50" s="5" t="s">
        <v>35</v>
      </c>
      <c r="C50" s="9">
        <f t="shared" ref="C50:P50" si="13">_xlfn.STDEV.S(C39:C48)</f>
        <v>90.317956870897675</v>
      </c>
      <c r="D50" s="9">
        <f t="shared" si="13"/>
        <v>86.766865155362666</v>
      </c>
      <c r="E50" s="9">
        <f t="shared" si="13"/>
        <v>20.424386295689658</v>
      </c>
      <c r="F50" s="14">
        <f t="shared" si="13"/>
        <v>0.44833023542919909</v>
      </c>
      <c r="G50" s="14">
        <f t="shared" si="13"/>
        <v>0.7103207413243362</v>
      </c>
      <c r="H50" s="14">
        <f t="shared" si="13"/>
        <v>0.80938934457473055</v>
      </c>
      <c r="I50" s="14">
        <f t="shared" si="13"/>
        <v>0.62972657205771332</v>
      </c>
      <c r="J50" s="9">
        <f t="shared" si="13"/>
        <v>21.864227506235945</v>
      </c>
      <c r="K50" s="14">
        <f t="shared" si="13"/>
        <v>1.1556623882239825</v>
      </c>
      <c r="L50" s="14">
        <f t="shared" si="13"/>
        <v>1.8878559267062767</v>
      </c>
      <c r="M50" s="14">
        <f t="shared" si="13"/>
        <v>1.8962243186571202</v>
      </c>
      <c r="N50" s="14">
        <f t="shared" si="13"/>
        <v>2.6352524652403857</v>
      </c>
      <c r="O50" s="9">
        <f t="shared" si="13"/>
        <v>11.116054455905957</v>
      </c>
      <c r="P50" s="9">
        <f t="shared" si="13"/>
        <v>70.380631805442988</v>
      </c>
    </row>
    <row r="51" spans="1:16" x14ac:dyDescent="0.25">
      <c r="A51" s="5" t="s">
        <v>147</v>
      </c>
      <c r="C51" s="10">
        <f t="shared" ref="C51:P51" si="14">COUNT(C39:C48)</f>
        <v>10</v>
      </c>
      <c r="D51" s="10">
        <f t="shared" si="14"/>
        <v>10</v>
      </c>
      <c r="E51" s="10">
        <f t="shared" si="14"/>
        <v>10</v>
      </c>
      <c r="F51" s="10">
        <f t="shared" si="14"/>
        <v>10</v>
      </c>
      <c r="G51" s="10">
        <f t="shared" si="14"/>
        <v>10</v>
      </c>
      <c r="H51" s="10">
        <f t="shared" si="14"/>
        <v>10</v>
      </c>
      <c r="I51" s="10">
        <f t="shared" si="14"/>
        <v>10</v>
      </c>
      <c r="J51" s="10">
        <f t="shared" si="14"/>
        <v>10</v>
      </c>
      <c r="K51" s="10">
        <f t="shared" si="14"/>
        <v>10</v>
      </c>
      <c r="L51" s="10">
        <f t="shared" si="14"/>
        <v>10</v>
      </c>
      <c r="M51" s="10">
        <f t="shared" si="14"/>
        <v>10</v>
      </c>
      <c r="N51" s="10">
        <f t="shared" si="14"/>
        <v>10</v>
      </c>
      <c r="O51" s="10">
        <f t="shared" si="14"/>
        <v>10</v>
      </c>
      <c r="P51" s="10">
        <f t="shared" si="14"/>
        <v>10</v>
      </c>
    </row>
    <row r="52" spans="1:16" x14ac:dyDescent="0.25">
      <c r="A52" s="5" t="s">
        <v>148</v>
      </c>
      <c r="C52" s="16">
        <f t="shared" ref="C52:P52" si="15">_xlfn.T.INV.2T(0.05,C51-1)</f>
        <v>2.2621571627982053</v>
      </c>
      <c r="D52" s="16">
        <f t="shared" si="15"/>
        <v>2.2621571627982053</v>
      </c>
      <c r="E52" s="16">
        <f t="shared" si="15"/>
        <v>2.2621571627982053</v>
      </c>
      <c r="F52" s="16">
        <f t="shared" si="15"/>
        <v>2.2621571627982053</v>
      </c>
      <c r="G52" s="16">
        <f t="shared" si="15"/>
        <v>2.2621571627982053</v>
      </c>
      <c r="H52" s="16">
        <f t="shared" si="15"/>
        <v>2.2621571627982053</v>
      </c>
      <c r="I52" s="16">
        <f t="shared" si="15"/>
        <v>2.2621571627982053</v>
      </c>
      <c r="J52" s="16">
        <f t="shared" si="15"/>
        <v>2.2621571627982053</v>
      </c>
      <c r="K52" s="16">
        <f t="shared" si="15"/>
        <v>2.2621571627982053</v>
      </c>
      <c r="L52" s="16">
        <f t="shared" si="15"/>
        <v>2.2621571627982053</v>
      </c>
      <c r="M52" s="16">
        <f t="shared" si="15"/>
        <v>2.2621571627982053</v>
      </c>
      <c r="N52" s="16">
        <f t="shared" si="15"/>
        <v>2.2621571627982053</v>
      </c>
      <c r="O52" s="16">
        <f t="shared" si="15"/>
        <v>2.2621571627982053</v>
      </c>
      <c r="P52" s="16">
        <f t="shared" si="15"/>
        <v>2.2621571627982053</v>
      </c>
    </row>
    <row r="53" spans="1:16" x14ac:dyDescent="0.25">
      <c r="A53" s="5" t="s">
        <v>37</v>
      </c>
      <c r="C53" s="14">
        <f t="shared" ref="C53:P53" si="16">C52*C50/SQRT(C51)</f>
        <v>64.609574180757306</v>
      </c>
      <c r="D53" s="14">
        <f t="shared" si="16"/>
        <v>62.069276198314128</v>
      </c>
      <c r="E53" s="14">
        <f t="shared" si="16"/>
        <v>14.6107257868342</v>
      </c>
      <c r="F53" s="14">
        <f t="shared" si="16"/>
        <v>0.3207161300697316</v>
      </c>
      <c r="G53" s="14">
        <f t="shared" si="16"/>
        <v>0.50813284776056611</v>
      </c>
      <c r="H53" s="14">
        <f t="shared" si="16"/>
        <v>0.5790022572606035</v>
      </c>
      <c r="I53" s="14">
        <f t="shared" si="16"/>
        <v>0.45047925219471868</v>
      </c>
      <c r="J53" s="14">
        <f t="shared" si="16"/>
        <v>15.64072614029965</v>
      </c>
      <c r="K53" s="14">
        <f t="shared" si="16"/>
        <v>0.82671107038657732</v>
      </c>
      <c r="L53" s="14">
        <f t="shared" si="16"/>
        <v>1.3504907746469843</v>
      </c>
      <c r="M53" s="14">
        <f t="shared" si="16"/>
        <v>1.3564771616208895</v>
      </c>
      <c r="N53" s="14">
        <f t="shared" si="16"/>
        <v>1.8851460499859292</v>
      </c>
      <c r="O53" s="14">
        <f t="shared" si="16"/>
        <v>7.9519463221783075</v>
      </c>
      <c r="P53" s="14">
        <f t="shared" si="16"/>
        <v>50.347271008602263</v>
      </c>
    </row>
    <row r="55" spans="1:16" x14ac:dyDescent="0.25">
      <c r="A55" s="5" t="s">
        <v>150</v>
      </c>
    </row>
    <row r="56" spans="1:16" ht="60" customHeight="1" x14ac:dyDescent="0.25">
      <c r="A56" s="7" t="s">
        <v>5</v>
      </c>
      <c r="B56" s="7" t="s">
        <v>132</v>
      </c>
      <c r="C56" s="7" t="s">
        <v>133</v>
      </c>
      <c r="D56" s="7" t="s">
        <v>134</v>
      </c>
      <c r="E56" s="7" t="s">
        <v>135</v>
      </c>
      <c r="F56" s="7" t="s">
        <v>136</v>
      </c>
      <c r="G56" s="7" t="s">
        <v>137</v>
      </c>
      <c r="H56" s="7" t="s">
        <v>138</v>
      </c>
      <c r="I56" s="7" t="s">
        <v>139</v>
      </c>
      <c r="J56" s="7" t="s">
        <v>140</v>
      </c>
      <c r="K56" s="7" t="s">
        <v>141</v>
      </c>
      <c r="L56" s="7" t="s">
        <v>142</v>
      </c>
      <c r="M56" s="7" t="s">
        <v>143</v>
      </c>
      <c r="N56" s="7" t="s">
        <v>144</v>
      </c>
      <c r="O56" s="7" t="s">
        <v>145</v>
      </c>
      <c r="P56" s="7" t="s">
        <v>146</v>
      </c>
    </row>
    <row r="57" spans="1:16" x14ac:dyDescent="0.25">
      <c r="A57" s="10">
        <v>1</v>
      </c>
      <c r="B57" s="13">
        <v>3600</v>
      </c>
      <c r="C57" s="13">
        <v>7388</v>
      </c>
      <c r="D57" s="13">
        <v>7147</v>
      </c>
      <c r="E57" s="13">
        <v>241</v>
      </c>
      <c r="F57" s="14">
        <v>167.9</v>
      </c>
      <c r="G57" s="14">
        <v>167.8</v>
      </c>
      <c r="H57" s="14">
        <v>216.7</v>
      </c>
      <c r="I57" s="14">
        <v>228.9</v>
      </c>
      <c r="J57" s="13">
        <v>761</v>
      </c>
      <c r="K57" s="14">
        <v>154.69999999999999</v>
      </c>
      <c r="L57" s="14">
        <v>153.19999999999999</v>
      </c>
      <c r="M57" s="14">
        <v>204.1</v>
      </c>
      <c r="N57" s="14">
        <v>216.3</v>
      </c>
      <c r="O57" s="13">
        <v>323</v>
      </c>
      <c r="P57" s="13">
        <v>4726</v>
      </c>
    </row>
    <row r="58" spans="1:16" x14ac:dyDescent="0.25">
      <c r="A58" s="10">
        <v>2</v>
      </c>
      <c r="B58" s="13">
        <v>3600</v>
      </c>
      <c r="C58" s="13">
        <v>7197</v>
      </c>
      <c r="D58" s="13">
        <v>6978</v>
      </c>
      <c r="E58" s="13">
        <v>219</v>
      </c>
      <c r="F58" s="14">
        <v>167.1</v>
      </c>
      <c r="G58" s="14">
        <v>167.1</v>
      </c>
      <c r="H58" s="14">
        <v>215.6</v>
      </c>
      <c r="I58" s="14">
        <v>228.6</v>
      </c>
      <c r="J58" s="13">
        <v>736</v>
      </c>
      <c r="K58" s="14">
        <v>153.4</v>
      </c>
      <c r="L58" s="14">
        <v>152.9</v>
      </c>
      <c r="M58" s="14">
        <v>203.6</v>
      </c>
      <c r="N58" s="14">
        <v>213.5</v>
      </c>
      <c r="O58" s="13">
        <v>319</v>
      </c>
      <c r="P58" s="13">
        <v>4583</v>
      </c>
    </row>
    <row r="59" spans="1:16" x14ac:dyDescent="0.25">
      <c r="A59" s="10">
        <v>3</v>
      </c>
      <c r="B59" s="13">
        <v>3600</v>
      </c>
      <c r="C59" s="13">
        <v>7410</v>
      </c>
      <c r="D59" s="13">
        <v>7161</v>
      </c>
      <c r="E59" s="13">
        <v>249</v>
      </c>
      <c r="F59" s="14">
        <v>168.7</v>
      </c>
      <c r="G59" s="14">
        <v>168.5</v>
      </c>
      <c r="H59" s="14">
        <v>218.4</v>
      </c>
      <c r="I59" s="14">
        <v>231.3</v>
      </c>
      <c r="J59" s="13">
        <v>741</v>
      </c>
      <c r="K59" s="14">
        <v>154.6</v>
      </c>
      <c r="L59" s="14">
        <v>153</v>
      </c>
      <c r="M59" s="14">
        <v>202.4</v>
      </c>
      <c r="N59" s="14">
        <v>214.5</v>
      </c>
      <c r="O59" s="13">
        <v>362</v>
      </c>
      <c r="P59" s="13">
        <v>4690</v>
      </c>
    </row>
    <row r="60" spans="1:16" x14ac:dyDescent="0.25">
      <c r="A60" s="10">
        <v>4</v>
      </c>
      <c r="B60" s="13">
        <v>3600</v>
      </c>
      <c r="C60" s="13">
        <v>7426</v>
      </c>
      <c r="D60" s="13">
        <v>7147</v>
      </c>
      <c r="E60" s="13">
        <v>279</v>
      </c>
      <c r="F60" s="14">
        <v>167.3</v>
      </c>
      <c r="G60" s="14">
        <v>166.5</v>
      </c>
      <c r="H60" s="14">
        <v>216.5</v>
      </c>
      <c r="I60" s="14">
        <v>229.3</v>
      </c>
      <c r="J60" s="13">
        <v>759</v>
      </c>
      <c r="K60" s="14">
        <v>156.80000000000001</v>
      </c>
      <c r="L60" s="14">
        <v>156.80000000000001</v>
      </c>
      <c r="M60" s="14">
        <v>205.5</v>
      </c>
      <c r="N60" s="14">
        <v>213.2</v>
      </c>
      <c r="O60" s="13">
        <v>326</v>
      </c>
      <c r="P60" s="13">
        <v>4754</v>
      </c>
    </row>
    <row r="61" spans="1:16" x14ac:dyDescent="0.25">
      <c r="A61" s="10">
        <v>5</v>
      </c>
      <c r="B61" s="13">
        <v>3600</v>
      </c>
      <c r="C61" s="13">
        <v>7271</v>
      </c>
      <c r="D61" s="13">
        <v>7031</v>
      </c>
      <c r="E61" s="13">
        <v>240</v>
      </c>
      <c r="F61" s="14">
        <v>167.6</v>
      </c>
      <c r="G61" s="14">
        <v>168</v>
      </c>
      <c r="H61" s="14">
        <v>215.5</v>
      </c>
      <c r="I61" s="14">
        <v>227.2</v>
      </c>
      <c r="J61" s="13">
        <v>728</v>
      </c>
      <c r="K61" s="14">
        <v>155.19999999999999</v>
      </c>
      <c r="L61" s="14">
        <v>152.9</v>
      </c>
      <c r="M61" s="14">
        <v>203.9</v>
      </c>
      <c r="N61" s="14">
        <v>213.8</v>
      </c>
      <c r="O61" s="13">
        <v>336</v>
      </c>
      <c r="P61" s="13">
        <v>4607</v>
      </c>
    </row>
    <row r="62" spans="1:16" x14ac:dyDescent="0.25">
      <c r="A62" s="10">
        <v>6</v>
      </c>
      <c r="B62" s="13">
        <v>3600</v>
      </c>
      <c r="C62" s="13">
        <v>7221</v>
      </c>
      <c r="D62" s="13">
        <v>6973</v>
      </c>
      <c r="E62" s="13">
        <v>248</v>
      </c>
      <c r="F62" s="14">
        <v>167.7</v>
      </c>
      <c r="G62" s="14">
        <v>167.2</v>
      </c>
      <c r="H62" s="14">
        <v>217.6</v>
      </c>
      <c r="I62" s="14">
        <v>230</v>
      </c>
      <c r="J62" s="13">
        <v>717</v>
      </c>
      <c r="K62" s="14">
        <v>152.69999999999999</v>
      </c>
      <c r="L62" s="14">
        <v>151.80000000000001</v>
      </c>
      <c r="M62" s="14">
        <v>205.1</v>
      </c>
      <c r="N62" s="14">
        <v>218.1</v>
      </c>
      <c r="O62" s="13">
        <v>350</v>
      </c>
      <c r="P62" s="13">
        <v>4580</v>
      </c>
    </row>
    <row r="63" spans="1:16" x14ac:dyDescent="0.25">
      <c r="A63" s="10">
        <v>7</v>
      </c>
      <c r="B63" s="13">
        <v>3600</v>
      </c>
      <c r="C63" s="13">
        <v>7358</v>
      </c>
      <c r="D63" s="13">
        <v>7119</v>
      </c>
      <c r="E63" s="13">
        <v>239</v>
      </c>
      <c r="F63" s="14">
        <v>168.2</v>
      </c>
      <c r="G63" s="14">
        <v>168.1</v>
      </c>
      <c r="H63" s="14">
        <v>216.5</v>
      </c>
      <c r="I63" s="14">
        <v>229.4</v>
      </c>
      <c r="J63" s="13">
        <v>785</v>
      </c>
      <c r="K63" s="14">
        <v>155.1</v>
      </c>
      <c r="L63" s="14">
        <v>157.80000000000001</v>
      </c>
      <c r="M63" s="14">
        <v>203.3</v>
      </c>
      <c r="N63" s="14">
        <v>213.6</v>
      </c>
      <c r="O63" s="13">
        <v>323</v>
      </c>
      <c r="P63" s="13">
        <v>4774</v>
      </c>
    </row>
    <row r="64" spans="1:16" x14ac:dyDescent="0.25">
      <c r="A64" s="10">
        <v>8</v>
      </c>
      <c r="B64" s="13">
        <v>3600</v>
      </c>
      <c r="C64" s="13">
        <v>7466</v>
      </c>
      <c r="D64" s="13">
        <v>7224</v>
      </c>
      <c r="E64" s="13">
        <v>242</v>
      </c>
      <c r="F64" s="14">
        <v>168.2</v>
      </c>
      <c r="G64" s="14">
        <v>168.1</v>
      </c>
      <c r="H64" s="14">
        <v>217.6</v>
      </c>
      <c r="I64" s="14">
        <v>231.1</v>
      </c>
      <c r="J64" s="13">
        <v>740</v>
      </c>
      <c r="K64" s="14">
        <v>152.6</v>
      </c>
      <c r="L64" s="14">
        <v>148</v>
      </c>
      <c r="M64" s="14">
        <v>203.3</v>
      </c>
      <c r="N64" s="14">
        <v>214.3</v>
      </c>
      <c r="O64" s="13">
        <v>340</v>
      </c>
      <c r="P64" s="13">
        <v>4745</v>
      </c>
    </row>
    <row r="65" spans="1:16" x14ac:dyDescent="0.25">
      <c r="A65" s="10">
        <v>9</v>
      </c>
      <c r="B65" s="13">
        <v>3600</v>
      </c>
      <c r="C65" s="13">
        <v>7353</v>
      </c>
      <c r="D65" s="13">
        <v>7070</v>
      </c>
      <c r="E65" s="13">
        <v>283</v>
      </c>
      <c r="F65" s="14">
        <v>167.7</v>
      </c>
      <c r="G65" s="14">
        <v>168.1</v>
      </c>
      <c r="H65" s="14">
        <v>215.9</v>
      </c>
      <c r="I65" s="14">
        <v>228.7</v>
      </c>
      <c r="J65" s="13">
        <v>774</v>
      </c>
      <c r="K65" s="14">
        <v>155.80000000000001</v>
      </c>
      <c r="L65" s="14">
        <v>155.69999999999999</v>
      </c>
      <c r="M65" s="14">
        <v>205.6</v>
      </c>
      <c r="N65" s="14">
        <v>215.7</v>
      </c>
      <c r="O65" s="13">
        <v>331</v>
      </c>
      <c r="P65" s="13">
        <v>4711</v>
      </c>
    </row>
    <row r="66" spans="1:16" x14ac:dyDescent="0.25">
      <c r="A66" s="10">
        <v>10</v>
      </c>
      <c r="B66" s="13">
        <v>3600</v>
      </c>
      <c r="C66" s="13">
        <v>7297</v>
      </c>
      <c r="D66" s="13">
        <v>7076</v>
      </c>
      <c r="E66" s="13">
        <v>221</v>
      </c>
      <c r="F66" s="14">
        <v>168.3</v>
      </c>
      <c r="G66" s="14">
        <v>168.3</v>
      </c>
      <c r="H66" s="14">
        <v>217.2</v>
      </c>
      <c r="I66" s="14">
        <v>230.3</v>
      </c>
      <c r="J66" s="13">
        <v>762</v>
      </c>
      <c r="K66" s="14">
        <v>155.9</v>
      </c>
      <c r="L66" s="14">
        <v>152.9</v>
      </c>
      <c r="M66" s="14">
        <v>206.3</v>
      </c>
      <c r="N66" s="14">
        <v>216.9</v>
      </c>
      <c r="O66" s="13">
        <v>361</v>
      </c>
      <c r="P66" s="13">
        <v>4642</v>
      </c>
    </row>
    <row r="67" spans="1:16" x14ac:dyDescent="0.25">
      <c r="A67" s="5" t="s">
        <v>34</v>
      </c>
      <c r="C67" s="13">
        <f t="shared" ref="C67:P67" si="17">AVERAGE(C57:C66)</f>
        <v>7338.7</v>
      </c>
      <c r="D67" s="13">
        <f t="shared" si="17"/>
        <v>7092.6</v>
      </c>
      <c r="E67" s="13">
        <f t="shared" si="17"/>
        <v>246.1</v>
      </c>
      <c r="F67" s="14">
        <f t="shared" si="17"/>
        <v>167.87</v>
      </c>
      <c r="G67" s="14">
        <f t="shared" si="17"/>
        <v>167.76999999999995</v>
      </c>
      <c r="H67" s="14">
        <f t="shared" si="17"/>
        <v>216.74999999999994</v>
      </c>
      <c r="I67" s="14">
        <f t="shared" si="17"/>
        <v>229.48000000000002</v>
      </c>
      <c r="J67" s="13">
        <f t="shared" si="17"/>
        <v>750.3</v>
      </c>
      <c r="K67" s="14">
        <f t="shared" si="17"/>
        <v>154.68</v>
      </c>
      <c r="L67" s="14">
        <f t="shared" si="17"/>
        <v>153.50000000000003</v>
      </c>
      <c r="M67" s="14">
        <f t="shared" si="17"/>
        <v>204.30999999999997</v>
      </c>
      <c r="N67" s="14">
        <f t="shared" si="17"/>
        <v>214.98999999999995</v>
      </c>
      <c r="O67" s="13">
        <f t="shared" si="17"/>
        <v>337.1</v>
      </c>
      <c r="P67" s="13">
        <f t="shared" si="17"/>
        <v>4681.2</v>
      </c>
    </row>
    <row r="68" spans="1:16" x14ac:dyDescent="0.25">
      <c r="A68" s="5" t="s">
        <v>35</v>
      </c>
      <c r="C68" s="9">
        <f t="shared" ref="C68:P68" si="18">_xlfn.STDEV.S(C57:C66)</f>
        <v>89.549551770079901</v>
      </c>
      <c r="D68" s="9">
        <f t="shared" si="18"/>
        <v>82.042265530233465</v>
      </c>
      <c r="E68" s="9">
        <f t="shared" si="18"/>
        <v>20.95206168587924</v>
      </c>
      <c r="F68" s="14">
        <f t="shared" si="18"/>
        <v>0.48773854562550928</v>
      </c>
      <c r="G68" s="14">
        <f t="shared" si="18"/>
        <v>0.63078434420084595</v>
      </c>
      <c r="H68" s="14">
        <f t="shared" si="18"/>
        <v>0.94897605636578353</v>
      </c>
      <c r="I68" s="14">
        <f t="shared" si="18"/>
        <v>1.2398924684557713</v>
      </c>
      <c r="J68" s="9">
        <f t="shared" si="18"/>
        <v>21.333593748410564</v>
      </c>
      <c r="K68" s="14">
        <f t="shared" si="18"/>
        <v>1.397458009705087</v>
      </c>
      <c r="L68" s="14">
        <f t="shared" si="18"/>
        <v>2.7644569488820459</v>
      </c>
      <c r="M68" s="14">
        <f t="shared" si="18"/>
        <v>1.250288855513884</v>
      </c>
      <c r="N68" s="14">
        <f t="shared" si="18"/>
        <v>1.6676330531624759</v>
      </c>
      <c r="O68" s="9">
        <f t="shared" si="18"/>
        <v>15.821574581002428</v>
      </c>
      <c r="P68" s="9">
        <f t="shared" si="18"/>
        <v>72.939548790610004</v>
      </c>
    </row>
    <row r="69" spans="1:16" x14ac:dyDescent="0.25">
      <c r="A69" s="5" t="s">
        <v>147</v>
      </c>
      <c r="C69" s="10">
        <f t="shared" ref="C69:P69" si="19">COUNT(C57:C66)</f>
        <v>10</v>
      </c>
      <c r="D69" s="10">
        <f t="shared" si="19"/>
        <v>10</v>
      </c>
      <c r="E69" s="10">
        <f t="shared" si="19"/>
        <v>10</v>
      </c>
      <c r="F69" s="10">
        <f t="shared" si="19"/>
        <v>10</v>
      </c>
      <c r="G69" s="10">
        <f t="shared" si="19"/>
        <v>10</v>
      </c>
      <c r="H69" s="10">
        <f t="shared" si="19"/>
        <v>10</v>
      </c>
      <c r="I69" s="10">
        <f t="shared" si="19"/>
        <v>10</v>
      </c>
      <c r="J69" s="10">
        <f t="shared" si="19"/>
        <v>10</v>
      </c>
      <c r="K69" s="10">
        <f t="shared" si="19"/>
        <v>10</v>
      </c>
      <c r="L69" s="10">
        <f t="shared" si="19"/>
        <v>10</v>
      </c>
      <c r="M69" s="10">
        <f t="shared" si="19"/>
        <v>10</v>
      </c>
      <c r="N69" s="10">
        <f t="shared" si="19"/>
        <v>10</v>
      </c>
      <c r="O69" s="10">
        <f t="shared" si="19"/>
        <v>10</v>
      </c>
      <c r="P69" s="10">
        <f t="shared" si="19"/>
        <v>10</v>
      </c>
    </row>
    <row r="70" spans="1:16" x14ac:dyDescent="0.25">
      <c r="A70" s="5" t="s">
        <v>148</v>
      </c>
      <c r="C70" s="16">
        <f t="shared" ref="C70:P70" si="20">_xlfn.T.INV.2T(0.05,C69-1)</f>
        <v>2.2621571627982053</v>
      </c>
      <c r="D70" s="16">
        <f t="shared" si="20"/>
        <v>2.2621571627982053</v>
      </c>
      <c r="E70" s="16">
        <f t="shared" si="20"/>
        <v>2.2621571627982053</v>
      </c>
      <c r="F70" s="16">
        <f t="shared" si="20"/>
        <v>2.2621571627982053</v>
      </c>
      <c r="G70" s="16">
        <f t="shared" si="20"/>
        <v>2.2621571627982053</v>
      </c>
      <c r="H70" s="16">
        <f t="shared" si="20"/>
        <v>2.2621571627982053</v>
      </c>
      <c r="I70" s="16">
        <f t="shared" si="20"/>
        <v>2.2621571627982053</v>
      </c>
      <c r="J70" s="16">
        <f t="shared" si="20"/>
        <v>2.2621571627982053</v>
      </c>
      <c r="K70" s="16">
        <f t="shared" si="20"/>
        <v>2.2621571627982053</v>
      </c>
      <c r="L70" s="16">
        <f t="shared" si="20"/>
        <v>2.2621571627982053</v>
      </c>
      <c r="M70" s="16">
        <f t="shared" si="20"/>
        <v>2.2621571627982053</v>
      </c>
      <c r="N70" s="16">
        <f t="shared" si="20"/>
        <v>2.2621571627982053</v>
      </c>
      <c r="O70" s="16">
        <f t="shared" si="20"/>
        <v>2.2621571627982053</v>
      </c>
      <c r="P70" s="16">
        <f t="shared" si="20"/>
        <v>2.2621571627982053</v>
      </c>
    </row>
    <row r="71" spans="1:16" x14ac:dyDescent="0.25">
      <c r="A71" s="5" t="s">
        <v>37</v>
      </c>
      <c r="C71" s="14">
        <f t="shared" ref="C71:P71" si="21">C70*C68/SQRT(C69)</f>
        <v>64.05989028530422</v>
      </c>
      <c r="D71" s="14">
        <f t="shared" si="21"/>
        <v>58.689501228531533</v>
      </c>
      <c r="E71" s="14">
        <f t="shared" si="21"/>
        <v>14.988202021317084</v>
      </c>
      <c r="F71" s="14">
        <f t="shared" si="21"/>
        <v>0.34890713692129627</v>
      </c>
      <c r="G71" s="14">
        <f t="shared" si="21"/>
        <v>0.45123593680225205</v>
      </c>
      <c r="H71" s="14">
        <f t="shared" si="21"/>
        <v>0.67885657552207013</v>
      </c>
      <c r="I71" s="14">
        <f t="shared" si="21"/>
        <v>0.88696563997085054</v>
      </c>
      <c r="J71" s="14">
        <f t="shared" si="21"/>
        <v>15.261133617098098</v>
      </c>
      <c r="K71" s="14">
        <f t="shared" si="21"/>
        <v>0.99968123804655429</v>
      </c>
      <c r="L71" s="14">
        <f t="shared" si="21"/>
        <v>1.9775733696413647</v>
      </c>
      <c r="M71" s="14">
        <f t="shared" si="21"/>
        <v>0.89440276725001555</v>
      </c>
      <c r="N71" s="14">
        <f t="shared" si="21"/>
        <v>1.1929528212047218</v>
      </c>
      <c r="O71" s="14">
        <f t="shared" si="21"/>
        <v>11.318072639850016</v>
      </c>
      <c r="P71" s="14">
        <f t="shared" si="21"/>
        <v>52.177809945747121</v>
      </c>
    </row>
    <row r="73" spans="1:16" x14ac:dyDescent="0.25">
      <c r="A73" s="5" t="s">
        <v>151</v>
      </c>
    </row>
    <row r="74" spans="1:16" ht="60" customHeight="1" x14ac:dyDescent="0.25">
      <c r="A74" s="7" t="s">
        <v>5</v>
      </c>
      <c r="B74" s="7" t="s">
        <v>132</v>
      </c>
      <c r="C74" s="7" t="s">
        <v>133</v>
      </c>
      <c r="D74" s="7" t="s">
        <v>134</v>
      </c>
      <c r="E74" s="7" t="s">
        <v>135</v>
      </c>
      <c r="F74" s="7" t="s">
        <v>136</v>
      </c>
      <c r="G74" s="7" t="s">
        <v>137</v>
      </c>
      <c r="H74" s="7" t="s">
        <v>138</v>
      </c>
      <c r="I74" s="7" t="s">
        <v>139</v>
      </c>
      <c r="J74" s="7" t="s">
        <v>140</v>
      </c>
      <c r="K74" s="7" t="s">
        <v>141</v>
      </c>
      <c r="L74" s="7" t="s">
        <v>142</v>
      </c>
      <c r="M74" s="7" t="s">
        <v>143</v>
      </c>
      <c r="N74" s="7" t="s">
        <v>144</v>
      </c>
      <c r="O74" s="7" t="s">
        <v>145</v>
      </c>
      <c r="P74" s="7" t="s">
        <v>152</v>
      </c>
    </row>
    <row r="75" spans="1:16" x14ac:dyDescent="0.25">
      <c r="A75" s="10">
        <v>1</v>
      </c>
      <c r="B75" s="13">
        <v>3600</v>
      </c>
      <c r="C75" s="13">
        <v>1996</v>
      </c>
      <c r="D75" s="13">
        <v>1937</v>
      </c>
      <c r="E75" s="13">
        <v>59</v>
      </c>
      <c r="F75" s="14">
        <v>159</v>
      </c>
      <c r="G75" s="14">
        <v>158.80000000000001</v>
      </c>
      <c r="H75" s="14">
        <v>208.3</v>
      </c>
      <c r="I75" s="14">
        <v>218.6</v>
      </c>
      <c r="J75" s="13">
        <v>5598</v>
      </c>
      <c r="K75" s="14">
        <v>163.1</v>
      </c>
      <c r="L75" s="14">
        <v>159.30000000000001</v>
      </c>
      <c r="M75" s="14">
        <v>216.7</v>
      </c>
      <c r="N75" s="14">
        <v>225.4</v>
      </c>
      <c r="O75" s="13">
        <v>86</v>
      </c>
      <c r="P75" s="13">
        <v>2954</v>
      </c>
    </row>
    <row r="76" spans="1:16" x14ac:dyDescent="0.25">
      <c r="A76" s="10">
        <v>2</v>
      </c>
      <c r="B76" s="13">
        <v>3600</v>
      </c>
      <c r="C76" s="13">
        <v>1963</v>
      </c>
      <c r="D76" s="13">
        <v>1911</v>
      </c>
      <c r="E76" s="13">
        <v>52</v>
      </c>
      <c r="F76" s="14">
        <v>158.6</v>
      </c>
      <c r="G76" s="14">
        <v>157.9</v>
      </c>
      <c r="H76" s="14">
        <v>207.7</v>
      </c>
      <c r="I76" s="14">
        <v>218.2</v>
      </c>
      <c r="J76" s="13">
        <v>5506</v>
      </c>
      <c r="K76" s="14">
        <v>163.6</v>
      </c>
      <c r="L76" s="14">
        <v>159.69999999999999</v>
      </c>
      <c r="M76" s="14">
        <v>217.5</v>
      </c>
      <c r="N76" s="14">
        <v>226.9</v>
      </c>
      <c r="O76" s="13">
        <v>94</v>
      </c>
      <c r="P76" s="13">
        <v>2864</v>
      </c>
    </row>
    <row r="77" spans="1:16" x14ac:dyDescent="0.25">
      <c r="A77" s="10">
        <v>3</v>
      </c>
      <c r="B77" s="13">
        <v>3600</v>
      </c>
      <c r="C77" s="13">
        <v>1947</v>
      </c>
      <c r="D77" s="13">
        <v>1895</v>
      </c>
      <c r="E77" s="13">
        <v>52</v>
      </c>
      <c r="F77" s="14">
        <v>158.1</v>
      </c>
      <c r="G77" s="14">
        <v>157.6</v>
      </c>
      <c r="H77" s="14">
        <v>203.7</v>
      </c>
      <c r="I77" s="14">
        <v>216.5</v>
      </c>
      <c r="J77" s="13">
        <v>5642</v>
      </c>
      <c r="K77" s="14">
        <v>164.2</v>
      </c>
      <c r="L77" s="14">
        <v>160.80000000000001</v>
      </c>
      <c r="M77" s="14">
        <v>218.2</v>
      </c>
      <c r="N77" s="14">
        <v>227.7</v>
      </c>
      <c r="O77" s="13">
        <v>87</v>
      </c>
      <c r="P77" s="13">
        <v>2971</v>
      </c>
    </row>
    <row r="78" spans="1:16" x14ac:dyDescent="0.25">
      <c r="A78" s="10">
        <v>4</v>
      </c>
      <c r="B78" s="13">
        <v>3600</v>
      </c>
      <c r="C78" s="13">
        <v>1946</v>
      </c>
      <c r="D78" s="13">
        <v>1887</v>
      </c>
      <c r="E78" s="13">
        <v>59</v>
      </c>
      <c r="F78" s="14">
        <v>157.69999999999999</v>
      </c>
      <c r="G78" s="14">
        <v>156.30000000000001</v>
      </c>
      <c r="H78" s="14">
        <v>206.4</v>
      </c>
      <c r="I78" s="14">
        <v>217.4</v>
      </c>
      <c r="J78" s="13">
        <v>5557</v>
      </c>
      <c r="K78" s="14">
        <v>163.80000000000001</v>
      </c>
      <c r="L78" s="14">
        <v>160.69999999999999</v>
      </c>
      <c r="M78" s="14">
        <v>217.5</v>
      </c>
      <c r="N78" s="14">
        <v>225.8</v>
      </c>
      <c r="O78" s="13">
        <v>88</v>
      </c>
      <c r="P78" s="13">
        <v>2940</v>
      </c>
    </row>
    <row r="79" spans="1:16" x14ac:dyDescent="0.25">
      <c r="A79" s="10">
        <v>5</v>
      </c>
      <c r="B79" s="13">
        <v>3600</v>
      </c>
      <c r="C79" s="13">
        <v>1944</v>
      </c>
      <c r="D79" s="13">
        <v>1877</v>
      </c>
      <c r="E79" s="13">
        <v>67</v>
      </c>
      <c r="F79" s="14">
        <v>158.69999999999999</v>
      </c>
      <c r="G79" s="14">
        <v>159.30000000000001</v>
      </c>
      <c r="H79" s="14">
        <v>206.7</v>
      </c>
      <c r="I79" s="14">
        <v>218.8</v>
      </c>
      <c r="J79" s="13">
        <v>5761</v>
      </c>
      <c r="K79" s="14">
        <v>163.69999999999999</v>
      </c>
      <c r="L79" s="14">
        <v>160.30000000000001</v>
      </c>
      <c r="M79" s="14">
        <v>217.5</v>
      </c>
      <c r="N79" s="14">
        <v>226.8</v>
      </c>
      <c r="O79" s="13">
        <v>92</v>
      </c>
      <c r="P79" s="13">
        <v>3029</v>
      </c>
    </row>
    <row r="80" spans="1:16" x14ac:dyDescent="0.25">
      <c r="A80" s="10">
        <v>6</v>
      </c>
      <c r="B80" s="13">
        <v>3600</v>
      </c>
      <c r="C80" s="13">
        <v>1923</v>
      </c>
      <c r="D80" s="13">
        <v>1861</v>
      </c>
      <c r="E80" s="13">
        <v>62</v>
      </c>
      <c r="F80" s="14">
        <v>158</v>
      </c>
      <c r="G80" s="14">
        <v>157.9</v>
      </c>
      <c r="H80" s="14">
        <v>204.1</v>
      </c>
      <c r="I80" s="14">
        <v>217.6</v>
      </c>
      <c r="J80" s="13">
        <v>5616</v>
      </c>
      <c r="K80" s="14">
        <v>164</v>
      </c>
      <c r="L80" s="14">
        <v>161</v>
      </c>
      <c r="M80" s="14">
        <v>217.8</v>
      </c>
      <c r="N80" s="14">
        <v>226</v>
      </c>
      <c r="O80" s="13">
        <v>82</v>
      </c>
      <c r="P80" s="13">
        <v>2985</v>
      </c>
    </row>
    <row r="81" spans="1:16" x14ac:dyDescent="0.25">
      <c r="A81" s="10">
        <v>7</v>
      </c>
      <c r="B81" s="13">
        <v>3600</v>
      </c>
      <c r="C81" s="13">
        <v>1906</v>
      </c>
      <c r="D81" s="13">
        <v>1852</v>
      </c>
      <c r="E81" s="13">
        <v>54</v>
      </c>
      <c r="F81" s="14">
        <v>158.9</v>
      </c>
      <c r="G81" s="14">
        <v>159.80000000000001</v>
      </c>
      <c r="H81" s="14">
        <v>204.5</v>
      </c>
      <c r="I81" s="14">
        <v>213.8</v>
      </c>
      <c r="J81" s="13">
        <v>5537</v>
      </c>
      <c r="K81" s="14">
        <v>164.2</v>
      </c>
      <c r="L81" s="14">
        <v>161.5</v>
      </c>
      <c r="M81" s="14">
        <v>218</v>
      </c>
      <c r="N81" s="14">
        <v>227.1</v>
      </c>
      <c r="O81" s="13">
        <v>88</v>
      </c>
      <c r="P81" s="13">
        <v>2934</v>
      </c>
    </row>
    <row r="82" spans="1:16" x14ac:dyDescent="0.25">
      <c r="A82" s="10">
        <v>8</v>
      </c>
      <c r="B82" s="13">
        <v>3600</v>
      </c>
      <c r="C82" s="13">
        <v>1844</v>
      </c>
      <c r="D82" s="13">
        <v>1772</v>
      </c>
      <c r="E82" s="13">
        <v>72</v>
      </c>
      <c r="F82" s="14">
        <v>159.30000000000001</v>
      </c>
      <c r="G82" s="14">
        <v>158.9</v>
      </c>
      <c r="H82" s="14">
        <v>204.8</v>
      </c>
      <c r="I82" s="14">
        <v>215.6</v>
      </c>
      <c r="J82" s="13">
        <v>5639</v>
      </c>
      <c r="K82" s="14">
        <v>163.1</v>
      </c>
      <c r="L82" s="14">
        <v>158.80000000000001</v>
      </c>
      <c r="M82" s="14">
        <v>217.4</v>
      </c>
      <c r="N82" s="14">
        <v>226.7</v>
      </c>
      <c r="O82" s="13">
        <v>78</v>
      </c>
      <c r="P82" s="13">
        <v>2972</v>
      </c>
    </row>
    <row r="83" spans="1:16" x14ac:dyDescent="0.25">
      <c r="A83" s="10">
        <v>9</v>
      </c>
      <c r="B83" s="13">
        <v>3600</v>
      </c>
      <c r="C83" s="13">
        <v>1924</v>
      </c>
      <c r="D83" s="13">
        <v>1866</v>
      </c>
      <c r="E83" s="13">
        <v>58</v>
      </c>
      <c r="F83" s="14">
        <v>159.4</v>
      </c>
      <c r="G83" s="14">
        <v>159.1</v>
      </c>
      <c r="H83" s="14">
        <v>205.9</v>
      </c>
      <c r="I83" s="14">
        <v>217.2</v>
      </c>
      <c r="J83" s="13">
        <v>5552</v>
      </c>
      <c r="K83" s="14">
        <v>164.2</v>
      </c>
      <c r="L83" s="14">
        <v>160.30000000000001</v>
      </c>
      <c r="M83" s="14">
        <v>219.9</v>
      </c>
      <c r="N83" s="14">
        <v>228.4</v>
      </c>
      <c r="O83" s="13">
        <v>87</v>
      </c>
      <c r="P83" s="13">
        <v>2956</v>
      </c>
    </row>
    <row r="84" spans="1:16" x14ac:dyDescent="0.25">
      <c r="A84" s="10">
        <v>10</v>
      </c>
      <c r="B84" s="13">
        <v>3600</v>
      </c>
      <c r="C84" s="13">
        <v>1931</v>
      </c>
      <c r="D84" s="13">
        <v>1871</v>
      </c>
      <c r="E84" s="13">
        <v>60</v>
      </c>
      <c r="F84" s="14">
        <v>159</v>
      </c>
      <c r="G84" s="14">
        <v>158.5</v>
      </c>
      <c r="H84" s="14">
        <v>205.1</v>
      </c>
      <c r="I84" s="14">
        <v>217.1</v>
      </c>
      <c r="J84" s="13">
        <v>5766</v>
      </c>
      <c r="K84" s="14">
        <v>163</v>
      </c>
      <c r="L84" s="14">
        <v>158.5</v>
      </c>
      <c r="M84" s="14">
        <v>217.3</v>
      </c>
      <c r="N84" s="14">
        <v>226.4</v>
      </c>
      <c r="O84" s="13">
        <v>90</v>
      </c>
      <c r="P84" s="13">
        <v>2945</v>
      </c>
    </row>
    <row r="85" spans="1:16" x14ac:dyDescent="0.25">
      <c r="A85" s="5" t="s">
        <v>34</v>
      </c>
      <c r="C85" s="13">
        <f t="shared" ref="C85:P85" si="22">AVERAGE(C75:C84)</f>
        <v>1932.4</v>
      </c>
      <c r="D85" s="13">
        <f t="shared" si="22"/>
        <v>1872.9</v>
      </c>
      <c r="E85" s="12">
        <f t="shared" si="22"/>
        <v>59.5</v>
      </c>
      <c r="F85" s="15">
        <f t="shared" si="22"/>
        <v>158.67000000000002</v>
      </c>
      <c r="G85" s="14">
        <f t="shared" si="22"/>
        <v>158.41000000000003</v>
      </c>
      <c r="H85" s="14">
        <f t="shared" si="22"/>
        <v>205.71999999999997</v>
      </c>
      <c r="I85" s="14">
        <f t="shared" si="22"/>
        <v>217.07999999999998</v>
      </c>
      <c r="J85" s="13">
        <f t="shared" si="22"/>
        <v>5617.4</v>
      </c>
      <c r="K85" s="15">
        <f t="shared" si="22"/>
        <v>163.69</v>
      </c>
      <c r="L85" s="14">
        <f t="shared" si="22"/>
        <v>160.08999999999997</v>
      </c>
      <c r="M85" s="14">
        <f t="shared" si="22"/>
        <v>217.78000000000003</v>
      </c>
      <c r="N85" s="14">
        <f t="shared" si="22"/>
        <v>226.71999999999997</v>
      </c>
      <c r="O85" s="13">
        <f t="shared" si="22"/>
        <v>87.2</v>
      </c>
      <c r="P85" s="13">
        <f t="shared" si="22"/>
        <v>2955</v>
      </c>
    </row>
    <row r="86" spans="1:16" x14ac:dyDescent="0.25">
      <c r="A86" s="5" t="s">
        <v>35</v>
      </c>
      <c r="C86" s="9">
        <f t="shared" ref="C86:P86" si="23">_xlfn.STDEV.S(C75:C84)</f>
        <v>39.702224958642638</v>
      </c>
      <c r="D86" s="9">
        <f t="shared" si="23"/>
        <v>43.556986937931221</v>
      </c>
      <c r="E86" s="9">
        <f t="shared" si="23"/>
        <v>6.3639610306789276</v>
      </c>
      <c r="F86" s="14">
        <f t="shared" si="23"/>
        <v>0.5696977756280619</v>
      </c>
      <c r="G86" s="14">
        <f t="shared" si="23"/>
        <v>1.0126423082433624</v>
      </c>
      <c r="H86" s="14">
        <f t="shared" si="23"/>
        <v>1.5440207252495044</v>
      </c>
      <c r="I86" s="14">
        <f t="shared" si="23"/>
        <v>1.497998664885918</v>
      </c>
      <c r="J86" s="9">
        <f t="shared" si="23"/>
        <v>88.789639035193744</v>
      </c>
      <c r="K86" s="14">
        <f t="shared" si="23"/>
        <v>0.47946729699624657</v>
      </c>
      <c r="L86" s="14">
        <f t="shared" si="23"/>
        <v>0.98595695195637634</v>
      </c>
      <c r="M86" s="14">
        <f t="shared" si="23"/>
        <v>0.8495750571772811</v>
      </c>
      <c r="N86" s="14">
        <f t="shared" si="23"/>
        <v>0.892935234680169</v>
      </c>
      <c r="O86" s="9">
        <f t="shared" si="23"/>
        <v>4.6139883927995404</v>
      </c>
      <c r="P86" s="9">
        <f t="shared" si="23"/>
        <v>42.12415511846433</v>
      </c>
    </row>
    <row r="87" spans="1:16" x14ac:dyDescent="0.25">
      <c r="A87" s="5" t="s">
        <v>147</v>
      </c>
      <c r="C87" s="10">
        <f t="shared" ref="C87:P87" si="24">COUNT(C75:C84)</f>
        <v>10</v>
      </c>
      <c r="D87" s="10">
        <f t="shared" si="24"/>
        <v>10</v>
      </c>
      <c r="E87" s="10">
        <f t="shared" si="24"/>
        <v>10</v>
      </c>
      <c r="F87" s="10">
        <f t="shared" si="24"/>
        <v>10</v>
      </c>
      <c r="G87" s="10">
        <f t="shared" si="24"/>
        <v>10</v>
      </c>
      <c r="H87" s="10">
        <f t="shared" si="24"/>
        <v>10</v>
      </c>
      <c r="I87" s="10">
        <f t="shared" si="24"/>
        <v>10</v>
      </c>
      <c r="J87" s="10">
        <f t="shared" si="24"/>
        <v>10</v>
      </c>
      <c r="K87" s="10">
        <f t="shared" si="24"/>
        <v>10</v>
      </c>
      <c r="L87" s="10">
        <f t="shared" si="24"/>
        <v>10</v>
      </c>
      <c r="M87" s="10">
        <f t="shared" si="24"/>
        <v>10</v>
      </c>
      <c r="N87" s="10">
        <f t="shared" si="24"/>
        <v>10</v>
      </c>
      <c r="O87" s="10">
        <f t="shared" si="24"/>
        <v>10</v>
      </c>
      <c r="P87" s="10">
        <f t="shared" si="24"/>
        <v>10</v>
      </c>
    </row>
    <row r="88" spans="1:16" x14ac:dyDescent="0.25">
      <c r="A88" s="5" t="s">
        <v>148</v>
      </c>
      <c r="C88" s="16">
        <f t="shared" ref="C88:P88" si="25">_xlfn.T.INV.2T(0.05,C87-1)</f>
        <v>2.2621571627982053</v>
      </c>
      <c r="D88" s="16">
        <f t="shared" si="25"/>
        <v>2.2621571627982053</v>
      </c>
      <c r="E88" s="16">
        <f t="shared" si="25"/>
        <v>2.2621571627982053</v>
      </c>
      <c r="F88" s="16">
        <f t="shared" si="25"/>
        <v>2.2621571627982053</v>
      </c>
      <c r="G88" s="16">
        <f t="shared" si="25"/>
        <v>2.2621571627982053</v>
      </c>
      <c r="H88" s="16">
        <f t="shared" si="25"/>
        <v>2.2621571627982053</v>
      </c>
      <c r="I88" s="16">
        <f t="shared" si="25"/>
        <v>2.2621571627982053</v>
      </c>
      <c r="J88" s="16">
        <f t="shared" si="25"/>
        <v>2.2621571627982053</v>
      </c>
      <c r="K88" s="16">
        <f t="shared" si="25"/>
        <v>2.2621571627982053</v>
      </c>
      <c r="L88" s="16">
        <f t="shared" si="25"/>
        <v>2.2621571627982053</v>
      </c>
      <c r="M88" s="16">
        <f t="shared" si="25"/>
        <v>2.2621571627982053</v>
      </c>
      <c r="N88" s="16">
        <f t="shared" si="25"/>
        <v>2.2621571627982053</v>
      </c>
      <c r="O88" s="16">
        <f t="shared" si="25"/>
        <v>2.2621571627982053</v>
      </c>
      <c r="P88" s="16">
        <f t="shared" si="25"/>
        <v>2.2621571627982053</v>
      </c>
    </row>
    <row r="89" spans="1:16" x14ac:dyDescent="0.25">
      <c r="A89" s="5" t="s">
        <v>37</v>
      </c>
      <c r="C89" s="14">
        <f t="shared" ref="C89:P89" si="26">C88*C86/SQRT(C87)</f>
        <v>28.401260806565904</v>
      </c>
      <c r="D89" s="14">
        <f t="shared" si="26"/>
        <v>31.15879140932314</v>
      </c>
      <c r="E89" s="14">
        <f t="shared" si="26"/>
        <v>4.5525034726243607</v>
      </c>
      <c r="F89" s="14">
        <f t="shared" si="26"/>
        <v>0.40753723811166037</v>
      </c>
      <c r="G89" s="14">
        <f t="shared" si="26"/>
        <v>0.72440066847996387</v>
      </c>
      <c r="H89" s="14">
        <f t="shared" si="26"/>
        <v>1.1045258887690674</v>
      </c>
      <c r="I89" s="14">
        <f t="shared" si="26"/>
        <v>1.0716036900609771</v>
      </c>
      <c r="J89" s="14">
        <f t="shared" si="26"/>
        <v>63.516281462468363</v>
      </c>
      <c r="K89" s="14">
        <f t="shared" si="26"/>
        <v>0.34299024209335277</v>
      </c>
      <c r="L89" s="14">
        <f t="shared" si="26"/>
        <v>0.70531111457178075</v>
      </c>
      <c r="M89" s="14">
        <f t="shared" si="26"/>
        <v>0.60774938429219039</v>
      </c>
      <c r="N89" s="14">
        <f t="shared" si="26"/>
        <v>0.63876738671299527</v>
      </c>
      <c r="O89" s="14">
        <f t="shared" si="26"/>
        <v>3.3006484608576399</v>
      </c>
      <c r="P89" s="14">
        <f t="shared" si="26"/>
        <v>30.133805272172985</v>
      </c>
    </row>
    <row r="91" spans="1:16" x14ac:dyDescent="0.25">
      <c r="A91" s="5" t="s">
        <v>153</v>
      </c>
    </row>
    <row r="92" spans="1:16" ht="60" customHeight="1" x14ac:dyDescent="0.25">
      <c r="A92" s="7" t="s">
        <v>5</v>
      </c>
      <c r="B92" s="7" t="s">
        <v>132</v>
      </c>
      <c r="C92" s="7" t="s">
        <v>133</v>
      </c>
      <c r="D92" s="7" t="s">
        <v>134</v>
      </c>
      <c r="E92" s="7" t="s">
        <v>135</v>
      </c>
      <c r="F92" s="7" t="s">
        <v>136</v>
      </c>
      <c r="G92" s="7" t="s">
        <v>137</v>
      </c>
      <c r="H92" s="7" t="s">
        <v>138</v>
      </c>
      <c r="I92" s="7" t="s">
        <v>139</v>
      </c>
      <c r="J92" s="7" t="s">
        <v>140</v>
      </c>
      <c r="K92" s="7" t="s">
        <v>141</v>
      </c>
      <c r="L92" s="7" t="s">
        <v>142</v>
      </c>
      <c r="M92" s="7" t="s">
        <v>143</v>
      </c>
      <c r="N92" s="7" t="s">
        <v>144</v>
      </c>
      <c r="O92" s="7" t="s">
        <v>145</v>
      </c>
      <c r="P92" s="7" t="s">
        <v>154</v>
      </c>
    </row>
    <row r="93" spans="1:16" x14ac:dyDescent="0.25">
      <c r="A93" s="10">
        <v>1</v>
      </c>
      <c r="B93" s="13">
        <v>3600</v>
      </c>
      <c r="C93" s="13">
        <v>2011</v>
      </c>
      <c r="D93" s="13">
        <v>1942</v>
      </c>
      <c r="E93" s="13">
        <v>69</v>
      </c>
      <c r="F93" s="14">
        <v>155.5</v>
      </c>
      <c r="G93" s="14">
        <v>154</v>
      </c>
      <c r="H93" s="14">
        <v>203.8</v>
      </c>
      <c r="I93" s="14">
        <v>214.6</v>
      </c>
      <c r="J93" s="13">
        <v>5726</v>
      </c>
      <c r="K93" s="14">
        <v>160.19999999999999</v>
      </c>
      <c r="L93" s="14">
        <v>157.19999999999999</v>
      </c>
      <c r="M93" s="14">
        <v>211.8</v>
      </c>
      <c r="N93" s="14">
        <v>221</v>
      </c>
      <c r="O93" s="13">
        <v>88</v>
      </c>
      <c r="P93" s="13">
        <v>3021</v>
      </c>
    </row>
    <row r="94" spans="1:16" x14ac:dyDescent="0.25">
      <c r="A94" s="10">
        <v>2</v>
      </c>
      <c r="B94" s="13">
        <v>3600</v>
      </c>
      <c r="C94" s="13">
        <v>1898</v>
      </c>
      <c r="D94" s="13">
        <v>1842</v>
      </c>
      <c r="E94" s="13">
        <v>56</v>
      </c>
      <c r="F94" s="14">
        <v>155.9</v>
      </c>
      <c r="G94" s="14">
        <v>154.69999999999999</v>
      </c>
      <c r="H94" s="14">
        <v>202</v>
      </c>
      <c r="I94" s="14">
        <v>215.8</v>
      </c>
      <c r="J94" s="13">
        <v>5746</v>
      </c>
      <c r="K94" s="14">
        <v>159.69999999999999</v>
      </c>
      <c r="L94" s="14">
        <v>157.19999999999999</v>
      </c>
      <c r="M94" s="14">
        <v>212</v>
      </c>
      <c r="N94" s="14">
        <v>220.2</v>
      </c>
      <c r="O94" s="13">
        <v>90</v>
      </c>
      <c r="P94" s="13">
        <v>3028</v>
      </c>
    </row>
    <row r="95" spans="1:16" x14ac:dyDescent="0.25">
      <c r="A95" s="10">
        <v>3</v>
      </c>
      <c r="B95" s="13">
        <v>3600</v>
      </c>
      <c r="C95" s="13">
        <v>1943</v>
      </c>
      <c r="D95" s="13">
        <v>1895</v>
      </c>
      <c r="E95" s="13">
        <v>48</v>
      </c>
      <c r="F95" s="14">
        <v>156</v>
      </c>
      <c r="G95" s="14">
        <v>155.30000000000001</v>
      </c>
      <c r="H95" s="14">
        <v>205.3</v>
      </c>
      <c r="I95" s="14">
        <v>215.5</v>
      </c>
      <c r="J95" s="13">
        <v>5621</v>
      </c>
      <c r="K95" s="14">
        <v>158.6</v>
      </c>
      <c r="L95" s="14">
        <v>155.1</v>
      </c>
      <c r="M95" s="14">
        <v>210</v>
      </c>
      <c r="N95" s="14">
        <v>219.5</v>
      </c>
      <c r="O95" s="13">
        <v>88</v>
      </c>
      <c r="P95" s="13">
        <v>3031</v>
      </c>
    </row>
    <row r="96" spans="1:16" x14ac:dyDescent="0.25">
      <c r="A96" s="10">
        <v>4</v>
      </c>
      <c r="B96" s="13">
        <v>3600</v>
      </c>
      <c r="C96" s="13">
        <v>1912</v>
      </c>
      <c r="D96" s="13">
        <v>1849</v>
      </c>
      <c r="E96" s="13">
        <v>63</v>
      </c>
      <c r="F96" s="14">
        <v>154.9</v>
      </c>
      <c r="G96" s="14">
        <v>153.5</v>
      </c>
      <c r="H96" s="14">
        <v>201.7</v>
      </c>
      <c r="I96" s="14">
        <v>213.4</v>
      </c>
      <c r="J96" s="13">
        <v>5760</v>
      </c>
      <c r="K96" s="14">
        <v>158.9</v>
      </c>
      <c r="L96" s="14">
        <v>155.6</v>
      </c>
      <c r="M96" s="14">
        <v>210.5</v>
      </c>
      <c r="N96" s="14">
        <v>220.1</v>
      </c>
      <c r="O96" s="13">
        <v>84</v>
      </c>
      <c r="P96" s="13">
        <v>3114</v>
      </c>
    </row>
    <row r="97" spans="1:16" x14ac:dyDescent="0.25">
      <c r="A97" s="10">
        <v>5</v>
      </c>
      <c r="B97" s="13">
        <v>3600</v>
      </c>
      <c r="C97" s="13">
        <v>1975</v>
      </c>
      <c r="D97" s="13">
        <v>1912</v>
      </c>
      <c r="E97" s="13">
        <v>63</v>
      </c>
      <c r="F97" s="14">
        <v>155.30000000000001</v>
      </c>
      <c r="G97" s="14">
        <v>155.80000000000001</v>
      </c>
      <c r="H97" s="14">
        <v>201.6</v>
      </c>
      <c r="I97" s="14">
        <v>212.7</v>
      </c>
      <c r="J97" s="13">
        <v>5704</v>
      </c>
      <c r="K97" s="14">
        <v>159.4</v>
      </c>
      <c r="L97" s="14">
        <v>156.5</v>
      </c>
      <c r="M97" s="14">
        <v>211.2</v>
      </c>
      <c r="N97" s="14">
        <v>220.3</v>
      </c>
      <c r="O97" s="13">
        <v>98</v>
      </c>
      <c r="P97" s="13">
        <v>2956</v>
      </c>
    </row>
    <row r="98" spans="1:16" x14ac:dyDescent="0.25">
      <c r="A98" s="10">
        <v>6</v>
      </c>
      <c r="B98" s="13">
        <v>3600</v>
      </c>
      <c r="C98" s="13">
        <v>1894</v>
      </c>
      <c r="D98" s="13">
        <v>1837</v>
      </c>
      <c r="E98" s="13">
        <v>57</v>
      </c>
      <c r="F98" s="14">
        <v>153</v>
      </c>
      <c r="G98" s="14">
        <v>153.19999999999999</v>
      </c>
      <c r="H98" s="14">
        <v>200.1</v>
      </c>
      <c r="I98" s="14">
        <v>212.7</v>
      </c>
      <c r="J98" s="13">
        <v>5627</v>
      </c>
      <c r="K98" s="14">
        <v>160.4</v>
      </c>
      <c r="L98" s="14">
        <v>157.9</v>
      </c>
      <c r="M98" s="14">
        <v>212.4</v>
      </c>
      <c r="N98" s="14">
        <v>220.8</v>
      </c>
      <c r="O98" s="13">
        <v>85</v>
      </c>
      <c r="P98" s="13">
        <v>2974</v>
      </c>
    </row>
    <row r="99" spans="1:16" x14ac:dyDescent="0.25">
      <c r="A99" s="10">
        <v>7</v>
      </c>
      <c r="B99" s="13">
        <v>3600</v>
      </c>
      <c r="C99" s="13">
        <v>1932</v>
      </c>
      <c r="D99" s="13">
        <v>1873</v>
      </c>
      <c r="E99" s="13">
        <v>59</v>
      </c>
      <c r="F99" s="14">
        <v>155.1</v>
      </c>
      <c r="G99" s="14">
        <v>154.4</v>
      </c>
      <c r="H99" s="14">
        <v>202.2</v>
      </c>
      <c r="I99" s="14">
        <v>214.1</v>
      </c>
      <c r="J99" s="13">
        <v>5691</v>
      </c>
      <c r="K99" s="14">
        <v>160.5</v>
      </c>
      <c r="L99" s="14">
        <v>157.69999999999999</v>
      </c>
      <c r="M99" s="14">
        <v>211.5</v>
      </c>
      <c r="N99" s="14">
        <v>220</v>
      </c>
      <c r="O99" s="13">
        <v>87</v>
      </c>
      <c r="P99" s="13">
        <v>3045</v>
      </c>
    </row>
    <row r="100" spans="1:16" x14ac:dyDescent="0.25">
      <c r="A100" s="10">
        <v>8</v>
      </c>
      <c r="B100" s="13">
        <v>3600</v>
      </c>
      <c r="C100" s="13">
        <v>1940</v>
      </c>
      <c r="D100" s="13">
        <v>1880</v>
      </c>
      <c r="E100" s="13">
        <v>60</v>
      </c>
      <c r="F100" s="14">
        <v>155.19999999999999</v>
      </c>
      <c r="G100" s="14">
        <v>154.9</v>
      </c>
      <c r="H100" s="14">
        <v>203.1</v>
      </c>
      <c r="I100" s="14">
        <v>216.9</v>
      </c>
      <c r="J100" s="13">
        <v>5527</v>
      </c>
      <c r="K100" s="14">
        <v>160.1</v>
      </c>
      <c r="L100" s="14">
        <v>157.4</v>
      </c>
      <c r="M100" s="14">
        <v>211</v>
      </c>
      <c r="N100" s="14">
        <v>219.6</v>
      </c>
      <c r="O100" s="13">
        <v>97</v>
      </c>
      <c r="P100" s="13">
        <v>3010</v>
      </c>
    </row>
    <row r="101" spans="1:16" x14ac:dyDescent="0.25">
      <c r="A101" s="10">
        <v>9</v>
      </c>
      <c r="B101" s="13">
        <v>3600</v>
      </c>
      <c r="C101" s="13">
        <v>1901</v>
      </c>
      <c r="D101" s="13">
        <v>1841</v>
      </c>
      <c r="E101" s="13">
        <v>60</v>
      </c>
      <c r="F101" s="14">
        <v>156.30000000000001</v>
      </c>
      <c r="G101" s="14">
        <v>156.5</v>
      </c>
      <c r="H101" s="14">
        <v>202.3</v>
      </c>
      <c r="I101" s="14">
        <v>214</v>
      </c>
      <c r="J101" s="13">
        <v>5750</v>
      </c>
      <c r="K101" s="14">
        <v>159.69999999999999</v>
      </c>
      <c r="L101" s="14">
        <v>157.19999999999999</v>
      </c>
      <c r="M101" s="14">
        <v>211.5</v>
      </c>
      <c r="N101" s="14">
        <v>220</v>
      </c>
      <c r="O101" s="13">
        <v>80</v>
      </c>
      <c r="P101" s="13">
        <v>3192</v>
      </c>
    </row>
    <row r="102" spans="1:16" x14ac:dyDescent="0.25">
      <c r="A102" s="10">
        <v>10</v>
      </c>
      <c r="B102" s="13">
        <v>3600</v>
      </c>
      <c r="C102" s="13">
        <v>1899</v>
      </c>
      <c r="D102" s="13">
        <v>1849</v>
      </c>
      <c r="E102" s="13">
        <v>50</v>
      </c>
      <c r="F102" s="14">
        <v>154.9</v>
      </c>
      <c r="G102" s="14">
        <v>154.80000000000001</v>
      </c>
      <c r="H102" s="14">
        <v>202.4</v>
      </c>
      <c r="I102" s="14">
        <v>216.2</v>
      </c>
      <c r="J102" s="13">
        <v>5654</v>
      </c>
      <c r="K102" s="14">
        <v>159.69999999999999</v>
      </c>
      <c r="L102" s="14">
        <v>156.30000000000001</v>
      </c>
      <c r="M102" s="14">
        <v>211.3</v>
      </c>
      <c r="N102" s="14">
        <v>219.7</v>
      </c>
      <c r="O102" s="13">
        <v>77</v>
      </c>
      <c r="P102" s="13">
        <v>3095</v>
      </c>
    </row>
    <row r="103" spans="1:16" x14ac:dyDescent="0.25">
      <c r="A103" s="5" t="s">
        <v>34</v>
      </c>
      <c r="C103" s="13">
        <f t="shared" ref="C103:P103" si="27">AVERAGE(C93:C102)</f>
        <v>1930.5</v>
      </c>
      <c r="D103" s="13">
        <f t="shared" si="27"/>
        <v>1872</v>
      </c>
      <c r="E103" s="13">
        <f t="shared" si="27"/>
        <v>58.5</v>
      </c>
      <c r="F103" s="14">
        <f t="shared" si="27"/>
        <v>155.20999999999998</v>
      </c>
      <c r="G103" s="14">
        <f t="shared" si="27"/>
        <v>154.71</v>
      </c>
      <c r="H103" s="14">
        <f t="shared" si="27"/>
        <v>202.45</v>
      </c>
      <c r="I103" s="14">
        <f t="shared" si="27"/>
        <v>214.59</v>
      </c>
      <c r="J103" s="13">
        <f t="shared" si="27"/>
        <v>5680.6</v>
      </c>
      <c r="K103" s="14">
        <f t="shared" si="27"/>
        <v>159.71999999999997</v>
      </c>
      <c r="L103" s="14">
        <f t="shared" si="27"/>
        <v>156.81</v>
      </c>
      <c r="M103" s="14">
        <f t="shared" si="27"/>
        <v>211.32000000000002</v>
      </c>
      <c r="N103" s="14">
        <f t="shared" si="27"/>
        <v>220.11999999999998</v>
      </c>
      <c r="O103" s="13">
        <f t="shared" si="27"/>
        <v>87.4</v>
      </c>
      <c r="P103" s="13">
        <f t="shared" si="27"/>
        <v>3046.6</v>
      </c>
    </row>
    <row r="104" spans="1:16" x14ac:dyDescent="0.25">
      <c r="A104" s="5" t="s">
        <v>35</v>
      </c>
      <c r="C104" s="9">
        <f t="shared" ref="C104:P104" si="28">_xlfn.STDEV.S(C93:C102)</f>
        <v>38.445488104009755</v>
      </c>
      <c r="D104" s="9">
        <f t="shared" si="28"/>
        <v>35.336477847497292</v>
      </c>
      <c r="E104" s="9">
        <f t="shared" si="28"/>
        <v>6.2048368229954285</v>
      </c>
      <c r="F104" s="14">
        <f t="shared" si="28"/>
        <v>0.91098237572902152</v>
      </c>
      <c r="G104" s="14">
        <f t="shared" si="28"/>
        <v>1.0071411685227356</v>
      </c>
      <c r="H104" s="14">
        <f t="shared" si="28"/>
        <v>1.3930382462644633</v>
      </c>
      <c r="I104" s="14">
        <f t="shared" si="28"/>
        <v>1.4670075361466692</v>
      </c>
      <c r="J104" s="9">
        <f t="shared" si="28"/>
        <v>73.666214176589207</v>
      </c>
      <c r="K104" s="14">
        <f t="shared" si="28"/>
        <v>0.62146779660914175</v>
      </c>
      <c r="L104" s="14">
        <f t="shared" si="28"/>
        <v>0.91463411020776775</v>
      </c>
      <c r="M104" s="14">
        <f t="shared" si="28"/>
        <v>0.70364132277113589</v>
      </c>
      <c r="N104" s="14">
        <f t="shared" si="28"/>
        <v>0.48716869083854009</v>
      </c>
      <c r="O104" s="9">
        <f t="shared" si="28"/>
        <v>6.6030296076876711</v>
      </c>
      <c r="P104" s="9">
        <f t="shared" si="28"/>
        <v>69.993967994074723</v>
      </c>
    </row>
    <row r="105" spans="1:16" x14ac:dyDescent="0.25">
      <c r="A105" s="5" t="s">
        <v>147</v>
      </c>
      <c r="C105" s="10">
        <f t="shared" ref="C105:P105" si="29">COUNT(C93:C102)</f>
        <v>10</v>
      </c>
      <c r="D105" s="10">
        <f t="shared" si="29"/>
        <v>10</v>
      </c>
      <c r="E105" s="10">
        <f t="shared" si="29"/>
        <v>10</v>
      </c>
      <c r="F105" s="10">
        <f t="shared" si="29"/>
        <v>10</v>
      </c>
      <c r="G105" s="10">
        <f t="shared" si="29"/>
        <v>10</v>
      </c>
      <c r="H105" s="10">
        <f t="shared" si="29"/>
        <v>10</v>
      </c>
      <c r="I105" s="10">
        <f t="shared" si="29"/>
        <v>10</v>
      </c>
      <c r="J105" s="10">
        <f t="shared" si="29"/>
        <v>10</v>
      </c>
      <c r="K105" s="10">
        <f t="shared" si="29"/>
        <v>10</v>
      </c>
      <c r="L105" s="10">
        <f t="shared" si="29"/>
        <v>10</v>
      </c>
      <c r="M105" s="10">
        <f t="shared" si="29"/>
        <v>10</v>
      </c>
      <c r="N105" s="10">
        <f t="shared" si="29"/>
        <v>10</v>
      </c>
      <c r="O105" s="10">
        <f t="shared" si="29"/>
        <v>10</v>
      </c>
      <c r="P105" s="10">
        <f t="shared" si="29"/>
        <v>10</v>
      </c>
    </row>
    <row r="106" spans="1:16" x14ac:dyDescent="0.25">
      <c r="A106" s="5" t="s">
        <v>148</v>
      </c>
      <c r="C106" s="16">
        <f t="shared" ref="C106:P106" si="30">_xlfn.T.INV.2T(0.05,C105-1)</f>
        <v>2.2621571627982053</v>
      </c>
      <c r="D106" s="16">
        <f t="shared" si="30"/>
        <v>2.2621571627982053</v>
      </c>
      <c r="E106" s="16">
        <f t="shared" si="30"/>
        <v>2.2621571627982053</v>
      </c>
      <c r="F106" s="16">
        <f t="shared" si="30"/>
        <v>2.2621571627982053</v>
      </c>
      <c r="G106" s="16">
        <f t="shared" si="30"/>
        <v>2.2621571627982053</v>
      </c>
      <c r="H106" s="16">
        <f t="shared" si="30"/>
        <v>2.2621571627982053</v>
      </c>
      <c r="I106" s="16">
        <f t="shared" si="30"/>
        <v>2.2621571627982053</v>
      </c>
      <c r="J106" s="16">
        <f t="shared" si="30"/>
        <v>2.2621571627982053</v>
      </c>
      <c r="K106" s="16">
        <f t="shared" si="30"/>
        <v>2.2621571627982053</v>
      </c>
      <c r="L106" s="16">
        <f t="shared" si="30"/>
        <v>2.2621571627982053</v>
      </c>
      <c r="M106" s="16">
        <f t="shared" si="30"/>
        <v>2.2621571627982053</v>
      </c>
      <c r="N106" s="16">
        <f t="shared" si="30"/>
        <v>2.2621571627982053</v>
      </c>
      <c r="O106" s="16">
        <f t="shared" si="30"/>
        <v>2.2621571627982053</v>
      </c>
      <c r="P106" s="16">
        <f t="shared" si="30"/>
        <v>2.2621571627982053</v>
      </c>
    </row>
    <row r="107" spans="1:16" x14ac:dyDescent="0.25">
      <c r="A107" s="5" t="s">
        <v>37</v>
      </c>
      <c r="C107" s="14">
        <f t="shared" ref="C107:P107" si="31">C106*C104/SQRT(C105)</f>
        <v>27.502245418616418</v>
      </c>
      <c r="D107" s="14">
        <f t="shared" si="31"/>
        <v>25.278193460886598</v>
      </c>
      <c r="E107" s="14">
        <f t="shared" si="31"/>
        <v>4.4386728717508594</v>
      </c>
      <c r="F107" s="14">
        <f t="shared" si="31"/>
        <v>0.65167753369531856</v>
      </c>
      <c r="G107" s="14">
        <f t="shared" si="31"/>
        <v>0.72046539019010403</v>
      </c>
      <c r="H107" s="14">
        <f t="shared" si="31"/>
        <v>0.99651952974654734</v>
      </c>
      <c r="I107" s="14">
        <f t="shared" si="31"/>
        <v>1.0494339720935295</v>
      </c>
      <c r="J107" s="14">
        <f t="shared" si="31"/>
        <v>52.697635047937183</v>
      </c>
      <c r="K107" s="14">
        <f t="shared" si="31"/>
        <v>0.44457128014272201</v>
      </c>
      <c r="L107" s="14">
        <f t="shared" si="31"/>
        <v>0.65428982717346074</v>
      </c>
      <c r="M107" s="14">
        <f t="shared" si="31"/>
        <v>0.5033546795706656</v>
      </c>
      <c r="N107" s="14">
        <f t="shared" si="31"/>
        <v>0.34849948736403741</v>
      </c>
      <c r="O107" s="14">
        <f t="shared" si="31"/>
        <v>4.7235228301881449</v>
      </c>
      <c r="P107" s="14">
        <f t="shared" si="31"/>
        <v>50.070668380851039</v>
      </c>
    </row>
    <row r="109" spans="1:16" x14ac:dyDescent="0.25">
      <c r="A109" s="5" t="s">
        <v>155</v>
      </c>
    </row>
    <row r="110" spans="1:16" ht="60" customHeight="1" x14ac:dyDescent="0.25">
      <c r="A110" s="7" t="s">
        <v>5</v>
      </c>
      <c r="B110" s="7" t="s">
        <v>132</v>
      </c>
      <c r="C110" s="7" t="s">
        <v>133</v>
      </c>
      <c r="D110" s="7" t="s">
        <v>134</v>
      </c>
      <c r="E110" s="7" t="s">
        <v>135</v>
      </c>
      <c r="F110" s="7" t="s">
        <v>136</v>
      </c>
      <c r="G110" s="7" t="s">
        <v>137</v>
      </c>
      <c r="H110" s="7" t="s">
        <v>138</v>
      </c>
      <c r="I110" s="7" t="s">
        <v>139</v>
      </c>
      <c r="J110" s="7" t="s">
        <v>140</v>
      </c>
      <c r="K110" s="7" t="s">
        <v>141</v>
      </c>
      <c r="L110" s="7" t="s">
        <v>142</v>
      </c>
      <c r="M110" s="7" t="s">
        <v>143</v>
      </c>
      <c r="N110" s="7" t="s">
        <v>144</v>
      </c>
      <c r="O110" s="7" t="s">
        <v>145</v>
      </c>
      <c r="P110" s="7" t="s">
        <v>156</v>
      </c>
    </row>
    <row r="111" spans="1:16" x14ac:dyDescent="0.25">
      <c r="A111" s="10">
        <v>1</v>
      </c>
      <c r="B111" s="13">
        <v>3600</v>
      </c>
      <c r="C111" s="13">
        <v>1896</v>
      </c>
      <c r="D111" s="13">
        <v>1821</v>
      </c>
      <c r="E111" s="13">
        <v>75</v>
      </c>
      <c r="F111" s="14">
        <v>156.5</v>
      </c>
      <c r="G111" s="14">
        <v>156.4</v>
      </c>
      <c r="H111" s="14">
        <v>203.1</v>
      </c>
      <c r="I111" s="14">
        <v>213.9</v>
      </c>
      <c r="J111" s="13">
        <v>5763</v>
      </c>
      <c r="K111" s="14">
        <v>161</v>
      </c>
      <c r="L111" s="14">
        <v>158.19999999999999</v>
      </c>
      <c r="M111" s="14">
        <v>213</v>
      </c>
      <c r="N111" s="14">
        <v>220.7</v>
      </c>
      <c r="O111" s="13">
        <v>84</v>
      </c>
      <c r="P111" s="13">
        <v>2254</v>
      </c>
    </row>
    <row r="112" spans="1:16" x14ac:dyDescent="0.25">
      <c r="A112" s="10">
        <v>2</v>
      </c>
      <c r="B112" s="13">
        <v>3600</v>
      </c>
      <c r="C112" s="13">
        <v>1918</v>
      </c>
      <c r="D112" s="13">
        <v>1854</v>
      </c>
      <c r="E112" s="13">
        <v>64</v>
      </c>
      <c r="F112" s="14">
        <v>157.30000000000001</v>
      </c>
      <c r="G112" s="14">
        <v>157.19999999999999</v>
      </c>
      <c r="H112" s="14">
        <v>203.5</v>
      </c>
      <c r="I112" s="14">
        <v>214.6</v>
      </c>
      <c r="J112" s="13">
        <v>5727</v>
      </c>
      <c r="K112" s="14">
        <v>161.19999999999999</v>
      </c>
      <c r="L112" s="14">
        <v>158.19999999999999</v>
      </c>
      <c r="M112" s="14">
        <v>213</v>
      </c>
      <c r="N112" s="14">
        <v>221.3</v>
      </c>
      <c r="O112" s="13">
        <v>92</v>
      </c>
      <c r="P112" s="13">
        <v>2230</v>
      </c>
    </row>
    <row r="113" spans="1:16" x14ac:dyDescent="0.25">
      <c r="A113" s="10">
        <v>3</v>
      </c>
      <c r="B113" s="13">
        <v>3278</v>
      </c>
      <c r="C113" s="13">
        <v>1724</v>
      </c>
      <c r="D113" s="13">
        <v>1640</v>
      </c>
      <c r="E113" s="13">
        <v>84</v>
      </c>
      <c r="F113" s="14">
        <v>157.1</v>
      </c>
      <c r="G113" s="14">
        <v>157.19999999999999</v>
      </c>
      <c r="H113" s="14">
        <v>202.6</v>
      </c>
      <c r="I113" s="14">
        <v>215</v>
      </c>
      <c r="J113" s="13">
        <v>5257</v>
      </c>
      <c r="K113" s="14">
        <v>161.9</v>
      </c>
      <c r="L113" s="14">
        <v>159.30000000000001</v>
      </c>
      <c r="M113" s="14">
        <v>213.7</v>
      </c>
      <c r="N113" s="14">
        <v>221.7</v>
      </c>
      <c r="O113" s="13">
        <v>83</v>
      </c>
      <c r="P113" s="13">
        <v>2102</v>
      </c>
    </row>
    <row r="114" spans="1:16" x14ac:dyDescent="0.25">
      <c r="A114" s="5" t="s">
        <v>34</v>
      </c>
      <c r="C114" s="13">
        <f t="shared" ref="C114:P114" si="32">AVERAGE(C111:C113)</f>
        <v>1846</v>
      </c>
      <c r="D114" s="13">
        <f t="shared" si="32"/>
        <v>1771.6666666666667</v>
      </c>
      <c r="E114" s="13">
        <f t="shared" si="32"/>
        <v>74.333333333333329</v>
      </c>
      <c r="F114" s="14">
        <f t="shared" si="32"/>
        <v>156.96666666666667</v>
      </c>
      <c r="G114" s="14">
        <f t="shared" si="32"/>
        <v>156.93333333333334</v>
      </c>
      <c r="H114" s="14">
        <f t="shared" si="32"/>
        <v>203.06666666666669</v>
      </c>
      <c r="I114" s="14">
        <f t="shared" si="32"/>
        <v>214.5</v>
      </c>
      <c r="J114" s="13">
        <f t="shared" si="32"/>
        <v>5582.333333333333</v>
      </c>
      <c r="K114" s="14">
        <f t="shared" si="32"/>
        <v>161.36666666666667</v>
      </c>
      <c r="L114" s="14">
        <f t="shared" si="32"/>
        <v>158.56666666666666</v>
      </c>
      <c r="M114" s="14">
        <f t="shared" si="32"/>
        <v>213.23333333333335</v>
      </c>
      <c r="N114" s="14">
        <f t="shared" si="32"/>
        <v>221.23333333333335</v>
      </c>
      <c r="O114" s="13">
        <f t="shared" si="32"/>
        <v>86.333333333333329</v>
      </c>
      <c r="P114" s="13">
        <f t="shared" si="32"/>
        <v>2195.3333333333335</v>
      </c>
    </row>
    <row r="115" spans="1:16" x14ac:dyDescent="0.25">
      <c r="A115" s="5" t="s">
        <v>35</v>
      </c>
      <c r="C115" s="9">
        <f t="shared" ref="C115:P115" si="33">_xlfn.STDEV.S(C111:C113)</f>
        <v>106.22617379911601</v>
      </c>
      <c r="D115" s="9">
        <f t="shared" si="33"/>
        <v>115.21429309479502</v>
      </c>
      <c r="E115" s="9">
        <f t="shared" si="33"/>
        <v>10.016652800877843</v>
      </c>
      <c r="F115" s="14">
        <f t="shared" si="33"/>
        <v>0.4163331998932302</v>
      </c>
      <c r="G115" s="14">
        <f t="shared" si="33"/>
        <v>0.46188021535169077</v>
      </c>
      <c r="H115" s="14">
        <f t="shared" si="33"/>
        <v>0.4509249752822922</v>
      </c>
      <c r="I115" s="14">
        <f t="shared" si="33"/>
        <v>0.55677643628299855</v>
      </c>
      <c r="J115" s="9">
        <f t="shared" si="33"/>
        <v>282.32132992980416</v>
      </c>
      <c r="K115" s="14">
        <f t="shared" si="33"/>
        <v>0.47258156262526607</v>
      </c>
      <c r="L115" s="14">
        <f t="shared" si="33"/>
        <v>0.63508529610860143</v>
      </c>
      <c r="M115" s="14">
        <f t="shared" si="33"/>
        <v>0.40414518843273145</v>
      </c>
      <c r="N115" s="14">
        <f t="shared" si="33"/>
        <v>0.5033222956847182</v>
      </c>
      <c r="O115" s="9">
        <f t="shared" si="33"/>
        <v>4.9328828623162471</v>
      </c>
      <c r="P115" s="9">
        <f t="shared" si="33"/>
        <v>81.714951712237664</v>
      </c>
    </row>
    <row r="116" spans="1:16" x14ac:dyDescent="0.25">
      <c r="A116" s="5" t="s">
        <v>147</v>
      </c>
      <c r="C116" s="10">
        <f t="shared" ref="C116:P116" si="34">COUNT(C111:C113)</f>
        <v>3</v>
      </c>
      <c r="D116" s="10">
        <f t="shared" si="34"/>
        <v>3</v>
      </c>
      <c r="E116" s="10">
        <f t="shared" si="34"/>
        <v>3</v>
      </c>
      <c r="F116" s="10">
        <f t="shared" si="34"/>
        <v>3</v>
      </c>
      <c r="G116" s="10">
        <f t="shared" si="34"/>
        <v>3</v>
      </c>
      <c r="H116" s="10">
        <f t="shared" si="34"/>
        <v>3</v>
      </c>
      <c r="I116" s="10">
        <f t="shared" si="34"/>
        <v>3</v>
      </c>
      <c r="J116" s="10">
        <f t="shared" si="34"/>
        <v>3</v>
      </c>
      <c r="K116" s="10">
        <f t="shared" si="34"/>
        <v>3</v>
      </c>
      <c r="L116" s="10">
        <f t="shared" si="34"/>
        <v>3</v>
      </c>
      <c r="M116" s="10">
        <f t="shared" si="34"/>
        <v>3</v>
      </c>
      <c r="N116" s="10">
        <f t="shared" si="34"/>
        <v>3</v>
      </c>
      <c r="O116" s="10">
        <f t="shared" si="34"/>
        <v>3</v>
      </c>
      <c r="P116" s="10">
        <f t="shared" si="34"/>
        <v>3</v>
      </c>
    </row>
    <row r="117" spans="1:16" x14ac:dyDescent="0.25">
      <c r="A117" s="5" t="s">
        <v>148</v>
      </c>
      <c r="C117" s="16">
        <f t="shared" ref="C117:P117" si="35">_xlfn.T.INV.2T(0.05,C116-1)</f>
        <v>4.3026527297494637</v>
      </c>
      <c r="D117" s="16">
        <f t="shared" si="35"/>
        <v>4.3026527297494637</v>
      </c>
      <c r="E117" s="16">
        <f t="shared" si="35"/>
        <v>4.3026527297494637</v>
      </c>
      <c r="F117" s="16">
        <f t="shared" si="35"/>
        <v>4.3026527297494637</v>
      </c>
      <c r="G117" s="16">
        <f t="shared" si="35"/>
        <v>4.3026527297494637</v>
      </c>
      <c r="H117" s="16">
        <f t="shared" si="35"/>
        <v>4.3026527297494637</v>
      </c>
      <c r="I117" s="16">
        <f t="shared" si="35"/>
        <v>4.3026527297494637</v>
      </c>
      <c r="J117" s="16">
        <f t="shared" si="35"/>
        <v>4.3026527297494637</v>
      </c>
      <c r="K117" s="16">
        <f t="shared" si="35"/>
        <v>4.3026527297494637</v>
      </c>
      <c r="L117" s="16">
        <f t="shared" si="35"/>
        <v>4.3026527297494637</v>
      </c>
      <c r="M117" s="16">
        <f t="shared" si="35"/>
        <v>4.3026527297494637</v>
      </c>
      <c r="N117" s="16">
        <f t="shared" si="35"/>
        <v>4.3026527297494637</v>
      </c>
      <c r="O117" s="16">
        <f t="shared" si="35"/>
        <v>4.3026527297494637</v>
      </c>
      <c r="P117" s="16">
        <f t="shared" si="35"/>
        <v>4.3026527297494637</v>
      </c>
    </row>
    <row r="118" spans="1:16" x14ac:dyDescent="0.25">
      <c r="A118" s="5" t="s">
        <v>37</v>
      </c>
      <c r="C118" s="14">
        <f t="shared" ref="C118:P118" si="36">C117*C115/SQRT(C116)</f>
        <v>263.88044430932905</v>
      </c>
      <c r="D118" s="14">
        <f t="shared" si="36"/>
        <v>286.20817040943609</v>
      </c>
      <c r="E118" s="14">
        <f t="shared" si="36"/>
        <v>24.882744968170229</v>
      </c>
      <c r="F118" s="14">
        <f t="shared" si="36"/>
        <v>1.0342290025084622</v>
      </c>
      <c r="G118" s="14">
        <f t="shared" si="36"/>
        <v>1.1473740612664993</v>
      </c>
      <c r="H118" s="14">
        <f t="shared" si="36"/>
        <v>1.120159736268828</v>
      </c>
      <c r="I118" s="14">
        <f t="shared" si="36"/>
        <v>1.383109342384552</v>
      </c>
      <c r="J118" s="14">
        <f t="shared" si="36"/>
        <v>701.32506251013399</v>
      </c>
      <c r="K118" s="14">
        <f t="shared" si="36"/>
        <v>1.1739576815953243</v>
      </c>
      <c r="L118" s="14">
        <f t="shared" si="36"/>
        <v>1.5776393342415027</v>
      </c>
      <c r="M118" s="14">
        <f t="shared" si="36"/>
        <v>1.0039523036081919</v>
      </c>
      <c r="N118" s="14">
        <f t="shared" si="36"/>
        <v>1.2503218958751594</v>
      </c>
      <c r="O118" s="14">
        <f t="shared" si="36"/>
        <v>12.253960345926705</v>
      </c>
      <c r="P118" s="14">
        <f t="shared" si="36"/>
        <v>202.99119316222686</v>
      </c>
    </row>
    <row r="120" spans="1:16" x14ac:dyDescent="0.25">
      <c r="A120" s="5" t="s">
        <v>157</v>
      </c>
    </row>
    <row r="121" spans="1:16" ht="60" customHeight="1" x14ac:dyDescent="0.25">
      <c r="A121" s="7" t="s">
        <v>5</v>
      </c>
      <c r="B121" s="7" t="s">
        <v>132</v>
      </c>
      <c r="C121" s="7" t="s">
        <v>133</v>
      </c>
      <c r="D121" s="7" t="s">
        <v>134</v>
      </c>
      <c r="E121" s="7" t="s">
        <v>135</v>
      </c>
      <c r="F121" s="7" t="s">
        <v>136</v>
      </c>
      <c r="G121" s="7" t="s">
        <v>137</v>
      </c>
      <c r="H121" s="7" t="s">
        <v>138</v>
      </c>
      <c r="I121" s="7" t="s">
        <v>139</v>
      </c>
      <c r="J121" s="7" t="s">
        <v>140</v>
      </c>
      <c r="K121" s="7" t="s">
        <v>141</v>
      </c>
      <c r="L121" s="7" t="s">
        <v>142</v>
      </c>
      <c r="M121" s="7" t="s">
        <v>143</v>
      </c>
      <c r="N121" s="7" t="s">
        <v>144</v>
      </c>
      <c r="O121" s="7" t="s">
        <v>145</v>
      </c>
      <c r="P121" s="7" t="s">
        <v>158</v>
      </c>
    </row>
    <row r="122" spans="1:16" x14ac:dyDescent="0.25">
      <c r="A122" s="10">
        <v>1</v>
      </c>
      <c r="B122" s="13">
        <v>3600</v>
      </c>
      <c r="C122" s="13">
        <v>1971</v>
      </c>
      <c r="D122" s="13">
        <v>1919</v>
      </c>
      <c r="E122" s="13">
        <v>52</v>
      </c>
      <c r="F122" s="14">
        <v>158.5</v>
      </c>
      <c r="G122" s="14">
        <v>157.9</v>
      </c>
      <c r="H122" s="14">
        <v>206.6</v>
      </c>
      <c r="I122" s="14">
        <v>220.2</v>
      </c>
      <c r="J122" s="13">
        <v>5635</v>
      </c>
      <c r="K122" s="14">
        <v>179.9</v>
      </c>
      <c r="L122" s="14">
        <v>179</v>
      </c>
      <c r="M122" s="14">
        <v>235.4</v>
      </c>
      <c r="N122" s="14">
        <v>250</v>
      </c>
      <c r="O122" s="13">
        <v>87</v>
      </c>
      <c r="P122" s="13">
        <v>2197</v>
      </c>
    </row>
    <row r="123" spans="1:16" x14ac:dyDescent="0.25">
      <c r="A123" s="10">
        <v>2</v>
      </c>
      <c r="B123" s="13">
        <v>3600</v>
      </c>
      <c r="C123" s="13">
        <v>1889</v>
      </c>
      <c r="D123" s="13">
        <v>1834</v>
      </c>
      <c r="E123" s="13">
        <v>55</v>
      </c>
      <c r="F123" s="14">
        <v>158.19999999999999</v>
      </c>
      <c r="G123" s="14">
        <v>158.4</v>
      </c>
      <c r="H123" s="14">
        <v>204.6</v>
      </c>
      <c r="I123" s="14">
        <v>218</v>
      </c>
      <c r="J123" s="13">
        <v>5764</v>
      </c>
      <c r="K123" s="14">
        <v>179.3</v>
      </c>
      <c r="L123" s="14">
        <v>177.9</v>
      </c>
      <c r="M123" s="14">
        <v>235.1</v>
      </c>
      <c r="N123" s="14">
        <v>248.3</v>
      </c>
      <c r="O123" s="13">
        <v>86</v>
      </c>
      <c r="P123" s="13">
        <v>2315</v>
      </c>
    </row>
    <row r="124" spans="1:16" x14ac:dyDescent="0.25">
      <c r="A124" s="10">
        <v>3</v>
      </c>
      <c r="B124" s="13">
        <v>3600</v>
      </c>
      <c r="C124" s="13">
        <v>1909</v>
      </c>
      <c r="D124" s="13">
        <v>1857</v>
      </c>
      <c r="E124" s="13">
        <v>52</v>
      </c>
      <c r="F124" s="14">
        <v>159.69999999999999</v>
      </c>
      <c r="G124" s="14">
        <v>160.5</v>
      </c>
      <c r="H124" s="14">
        <v>204.9</v>
      </c>
      <c r="I124" s="14">
        <v>217.2</v>
      </c>
      <c r="J124" s="13">
        <v>5739</v>
      </c>
      <c r="K124" s="14">
        <v>180.5</v>
      </c>
      <c r="L124" s="14">
        <v>179.9</v>
      </c>
      <c r="M124" s="14">
        <v>235.5</v>
      </c>
      <c r="N124" s="14">
        <v>250.1</v>
      </c>
      <c r="O124" s="13">
        <v>81</v>
      </c>
      <c r="P124" s="13">
        <v>2216</v>
      </c>
    </row>
    <row r="125" spans="1:16" x14ac:dyDescent="0.25">
      <c r="A125" s="10">
        <v>4</v>
      </c>
      <c r="B125" s="13">
        <v>3600</v>
      </c>
      <c r="C125" s="13">
        <v>1927</v>
      </c>
      <c r="D125" s="13">
        <v>1859</v>
      </c>
      <c r="E125" s="13">
        <v>68</v>
      </c>
      <c r="F125" s="14">
        <v>158.4</v>
      </c>
      <c r="G125" s="14">
        <v>157.9</v>
      </c>
      <c r="H125" s="14">
        <v>205.3</v>
      </c>
      <c r="I125" s="14">
        <v>215.9</v>
      </c>
      <c r="J125" s="13">
        <v>5748</v>
      </c>
      <c r="K125" s="14">
        <v>180.7</v>
      </c>
      <c r="L125" s="14">
        <v>180.1</v>
      </c>
      <c r="M125" s="14">
        <v>237.4</v>
      </c>
      <c r="N125" s="14">
        <v>252</v>
      </c>
      <c r="O125" s="13">
        <v>81</v>
      </c>
      <c r="P125" s="13">
        <v>2269</v>
      </c>
    </row>
    <row r="126" spans="1:16" x14ac:dyDescent="0.25">
      <c r="A126" s="10">
        <v>5</v>
      </c>
      <c r="B126" s="13">
        <v>3600</v>
      </c>
      <c r="C126" s="13">
        <v>1874</v>
      </c>
      <c r="D126" s="13">
        <v>1813</v>
      </c>
      <c r="E126" s="13">
        <v>61</v>
      </c>
      <c r="F126" s="14">
        <v>158.30000000000001</v>
      </c>
      <c r="G126" s="14">
        <v>157.6</v>
      </c>
      <c r="H126" s="14">
        <v>206</v>
      </c>
      <c r="I126" s="14">
        <v>216</v>
      </c>
      <c r="J126" s="13">
        <v>5727</v>
      </c>
      <c r="K126" s="14">
        <v>180.4</v>
      </c>
      <c r="L126" s="14">
        <v>179.4</v>
      </c>
      <c r="M126" s="14">
        <v>235.1</v>
      </c>
      <c r="N126" s="14">
        <v>249.9</v>
      </c>
      <c r="O126" s="13">
        <v>86</v>
      </c>
      <c r="P126" s="13">
        <v>2263</v>
      </c>
    </row>
    <row r="127" spans="1:16" x14ac:dyDescent="0.25">
      <c r="A127" s="10">
        <v>6</v>
      </c>
      <c r="B127" s="13">
        <v>3600</v>
      </c>
      <c r="C127" s="13">
        <v>1763</v>
      </c>
      <c r="D127" s="13">
        <v>1722</v>
      </c>
      <c r="E127" s="13">
        <v>41</v>
      </c>
      <c r="F127" s="14">
        <v>157.80000000000001</v>
      </c>
      <c r="G127" s="14">
        <v>158.69999999999999</v>
      </c>
      <c r="H127" s="14">
        <v>205.2</v>
      </c>
      <c r="I127" s="14">
        <v>215</v>
      </c>
      <c r="J127" s="13">
        <v>5745</v>
      </c>
      <c r="K127" s="14">
        <v>180.3</v>
      </c>
      <c r="L127" s="14">
        <v>179.7</v>
      </c>
      <c r="M127" s="14">
        <v>236.3</v>
      </c>
      <c r="N127" s="14">
        <v>251.1</v>
      </c>
      <c r="O127" s="13">
        <v>76</v>
      </c>
      <c r="P127" s="13">
        <v>2265</v>
      </c>
    </row>
    <row r="128" spans="1:16" x14ac:dyDescent="0.25">
      <c r="A128" s="10">
        <v>7</v>
      </c>
      <c r="B128" s="13">
        <v>3600</v>
      </c>
      <c r="C128" s="13">
        <v>1934</v>
      </c>
      <c r="D128" s="13">
        <v>1879</v>
      </c>
      <c r="E128" s="13">
        <v>55</v>
      </c>
      <c r="F128" s="14">
        <v>158.30000000000001</v>
      </c>
      <c r="G128" s="14">
        <v>158.6</v>
      </c>
      <c r="H128" s="14">
        <v>203.9</v>
      </c>
      <c r="I128" s="14">
        <v>215.3</v>
      </c>
      <c r="J128" s="13">
        <v>5569</v>
      </c>
      <c r="K128" s="14">
        <v>180</v>
      </c>
      <c r="L128" s="14">
        <v>178.8</v>
      </c>
      <c r="M128" s="14">
        <v>236.1</v>
      </c>
      <c r="N128" s="14">
        <v>249.9</v>
      </c>
      <c r="O128" s="13">
        <v>83</v>
      </c>
      <c r="P128" s="13">
        <v>2211</v>
      </c>
    </row>
    <row r="129" spans="1:16" x14ac:dyDescent="0.25">
      <c r="A129" s="10">
        <v>8</v>
      </c>
      <c r="B129" s="13">
        <v>3600</v>
      </c>
      <c r="C129" s="13">
        <v>1935</v>
      </c>
      <c r="D129" s="13">
        <v>1885</v>
      </c>
      <c r="E129" s="13">
        <v>50</v>
      </c>
      <c r="F129" s="14">
        <v>158.4</v>
      </c>
      <c r="G129" s="14">
        <v>158.30000000000001</v>
      </c>
      <c r="H129" s="14">
        <v>206.4</v>
      </c>
      <c r="I129" s="14">
        <v>216.8</v>
      </c>
      <c r="J129" s="13">
        <v>5690</v>
      </c>
      <c r="K129" s="14">
        <v>179.9</v>
      </c>
      <c r="L129" s="14">
        <v>180</v>
      </c>
      <c r="M129" s="14">
        <v>235.3</v>
      </c>
      <c r="N129" s="14">
        <v>248.9</v>
      </c>
      <c r="O129" s="13">
        <v>83</v>
      </c>
      <c r="P129" s="13">
        <v>2203</v>
      </c>
    </row>
    <row r="130" spans="1:16" x14ac:dyDescent="0.25">
      <c r="A130" s="10">
        <v>9</v>
      </c>
      <c r="B130" s="13">
        <v>3600</v>
      </c>
      <c r="C130" s="13">
        <v>1863</v>
      </c>
      <c r="D130" s="13">
        <v>1816</v>
      </c>
      <c r="E130" s="13">
        <v>47</v>
      </c>
      <c r="F130" s="14">
        <v>159.5</v>
      </c>
      <c r="G130" s="14">
        <v>159.4</v>
      </c>
      <c r="H130" s="14">
        <v>208.2</v>
      </c>
      <c r="I130" s="14">
        <v>218.9</v>
      </c>
      <c r="J130" s="13">
        <v>5764</v>
      </c>
      <c r="K130" s="14">
        <v>180.1</v>
      </c>
      <c r="L130" s="14">
        <v>178.2</v>
      </c>
      <c r="M130" s="14">
        <v>236.7</v>
      </c>
      <c r="N130" s="14">
        <v>251.2</v>
      </c>
      <c r="O130" s="13">
        <v>77</v>
      </c>
      <c r="P130" s="13">
        <v>2263</v>
      </c>
    </row>
    <row r="131" spans="1:16" x14ac:dyDescent="0.25">
      <c r="A131" s="10">
        <v>10</v>
      </c>
      <c r="B131" s="13">
        <v>3600</v>
      </c>
      <c r="C131" s="13">
        <v>1869</v>
      </c>
      <c r="D131" s="13">
        <v>1810</v>
      </c>
      <c r="E131" s="13">
        <v>59</v>
      </c>
      <c r="F131" s="14">
        <v>157.30000000000001</v>
      </c>
      <c r="G131" s="14">
        <v>157.1</v>
      </c>
      <c r="H131" s="14">
        <v>205.1</v>
      </c>
      <c r="I131" s="14">
        <v>215.9</v>
      </c>
      <c r="J131" s="13">
        <v>5560</v>
      </c>
      <c r="K131" s="14">
        <v>180.3</v>
      </c>
      <c r="L131" s="14">
        <v>179.9</v>
      </c>
      <c r="M131" s="14">
        <v>235.9</v>
      </c>
      <c r="N131" s="14">
        <v>250.2</v>
      </c>
      <c r="O131" s="13">
        <v>79</v>
      </c>
      <c r="P131" s="13">
        <v>2173</v>
      </c>
    </row>
    <row r="132" spans="1:16" x14ac:dyDescent="0.25">
      <c r="A132" s="5" t="s">
        <v>34</v>
      </c>
      <c r="C132" s="13">
        <f t="shared" ref="C132:P132" si="37">AVERAGE(C122:C131)</f>
        <v>1893.4</v>
      </c>
      <c r="D132" s="13">
        <f t="shared" si="37"/>
        <v>1839.4</v>
      </c>
      <c r="E132" s="13">
        <f t="shared" si="37"/>
        <v>54</v>
      </c>
      <c r="F132" s="14">
        <f t="shared" si="37"/>
        <v>158.44</v>
      </c>
      <c r="G132" s="14">
        <f t="shared" si="37"/>
        <v>158.44</v>
      </c>
      <c r="H132" s="14">
        <f t="shared" si="37"/>
        <v>205.62000000000003</v>
      </c>
      <c r="I132" s="14">
        <f t="shared" si="37"/>
        <v>216.92</v>
      </c>
      <c r="J132" s="13">
        <f t="shared" si="37"/>
        <v>5694.1</v>
      </c>
      <c r="K132" s="14">
        <f t="shared" si="37"/>
        <v>180.14000000000001</v>
      </c>
      <c r="L132" s="14">
        <f t="shared" si="37"/>
        <v>179.29000000000002</v>
      </c>
      <c r="M132" s="14">
        <f t="shared" si="37"/>
        <v>235.87999999999997</v>
      </c>
      <c r="N132" s="14">
        <f t="shared" si="37"/>
        <v>250.16</v>
      </c>
      <c r="O132" s="13">
        <f t="shared" si="37"/>
        <v>81.900000000000006</v>
      </c>
      <c r="P132" s="13">
        <f t="shared" si="37"/>
        <v>2237.5</v>
      </c>
    </row>
    <row r="133" spans="1:16" x14ac:dyDescent="0.25">
      <c r="A133" s="5" t="s">
        <v>35</v>
      </c>
      <c r="C133" s="9">
        <f t="shared" ref="C133:P133" si="38">_xlfn.STDEV.S(C122:C131)</f>
        <v>57.438276049647904</v>
      </c>
      <c r="D133" s="9">
        <f t="shared" si="38"/>
        <v>54.363386371507225</v>
      </c>
      <c r="E133" s="9">
        <f t="shared" si="38"/>
        <v>7.5571893658364226</v>
      </c>
      <c r="F133" s="14">
        <f t="shared" si="38"/>
        <v>0.70898989179441674</v>
      </c>
      <c r="G133" s="14">
        <f t="shared" si="38"/>
        <v>0.96401936356762796</v>
      </c>
      <c r="H133" s="14">
        <f t="shared" si="38"/>
        <v>1.2218383235473018</v>
      </c>
      <c r="I133" s="14">
        <f t="shared" si="38"/>
        <v>1.6725230441860344</v>
      </c>
      <c r="J133" s="9">
        <f t="shared" si="38"/>
        <v>78.53442274286833</v>
      </c>
      <c r="K133" s="14">
        <f t="shared" si="38"/>
        <v>0.39496835316262624</v>
      </c>
      <c r="L133" s="14">
        <f t="shared" si="38"/>
        <v>0.78379419067337608</v>
      </c>
      <c r="M133" s="14">
        <f t="shared" si="38"/>
        <v>0.7554248252914828</v>
      </c>
      <c r="N133" s="14">
        <f t="shared" si="38"/>
        <v>1.0834102536794485</v>
      </c>
      <c r="O133" s="9">
        <f t="shared" si="38"/>
        <v>3.8137179293236207</v>
      </c>
      <c r="P133" s="9">
        <f t="shared" si="38"/>
        <v>43.729598417751077</v>
      </c>
    </row>
    <row r="134" spans="1:16" x14ac:dyDescent="0.25">
      <c r="A134" s="5" t="s">
        <v>147</v>
      </c>
      <c r="C134" s="10">
        <f t="shared" ref="C134:P134" si="39">COUNT(C122:C131)</f>
        <v>10</v>
      </c>
      <c r="D134" s="10">
        <f t="shared" si="39"/>
        <v>10</v>
      </c>
      <c r="E134" s="10">
        <f t="shared" si="39"/>
        <v>10</v>
      </c>
      <c r="F134" s="10">
        <f t="shared" si="39"/>
        <v>10</v>
      </c>
      <c r="G134" s="10">
        <f t="shared" si="39"/>
        <v>10</v>
      </c>
      <c r="H134" s="10">
        <f t="shared" si="39"/>
        <v>10</v>
      </c>
      <c r="I134" s="10">
        <f t="shared" si="39"/>
        <v>10</v>
      </c>
      <c r="J134" s="10">
        <f t="shared" si="39"/>
        <v>10</v>
      </c>
      <c r="K134" s="10">
        <f t="shared" si="39"/>
        <v>10</v>
      </c>
      <c r="L134" s="10">
        <f t="shared" si="39"/>
        <v>10</v>
      </c>
      <c r="M134" s="10">
        <f t="shared" si="39"/>
        <v>10</v>
      </c>
      <c r="N134" s="10">
        <f t="shared" si="39"/>
        <v>10</v>
      </c>
      <c r="O134" s="10">
        <f t="shared" si="39"/>
        <v>10</v>
      </c>
      <c r="P134" s="10">
        <f t="shared" si="39"/>
        <v>10</v>
      </c>
    </row>
    <row r="135" spans="1:16" x14ac:dyDescent="0.25">
      <c r="A135" s="5" t="s">
        <v>148</v>
      </c>
      <c r="C135" s="16">
        <f t="shared" ref="C135:P135" si="40">_xlfn.T.INV.2T(0.05,C134-1)</f>
        <v>2.2621571627982053</v>
      </c>
      <c r="D135" s="16">
        <f t="shared" si="40"/>
        <v>2.2621571627982053</v>
      </c>
      <c r="E135" s="16">
        <f t="shared" si="40"/>
        <v>2.2621571627982053</v>
      </c>
      <c r="F135" s="16">
        <f t="shared" si="40"/>
        <v>2.2621571627982053</v>
      </c>
      <c r="G135" s="16">
        <f t="shared" si="40"/>
        <v>2.2621571627982053</v>
      </c>
      <c r="H135" s="16">
        <f t="shared" si="40"/>
        <v>2.2621571627982053</v>
      </c>
      <c r="I135" s="16">
        <f t="shared" si="40"/>
        <v>2.2621571627982053</v>
      </c>
      <c r="J135" s="16">
        <f t="shared" si="40"/>
        <v>2.2621571627982053</v>
      </c>
      <c r="K135" s="16">
        <f t="shared" si="40"/>
        <v>2.2621571627982053</v>
      </c>
      <c r="L135" s="16">
        <f t="shared" si="40"/>
        <v>2.2621571627982053</v>
      </c>
      <c r="M135" s="16">
        <f t="shared" si="40"/>
        <v>2.2621571627982053</v>
      </c>
      <c r="N135" s="16">
        <f t="shared" si="40"/>
        <v>2.2621571627982053</v>
      </c>
      <c r="O135" s="16">
        <f t="shared" si="40"/>
        <v>2.2621571627982053</v>
      </c>
      <c r="P135" s="16">
        <f t="shared" si="40"/>
        <v>2.2621571627982053</v>
      </c>
    </row>
    <row r="136" spans="1:16" x14ac:dyDescent="0.25">
      <c r="A136" s="5" t="s">
        <v>37</v>
      </c>
      <c r="C136" s="14">
        <f t="shared" ref="C136:P136" si="41">C135*C133/SQRT(C134)</f>
        <v>41.088867439165064</v>
      </c>
      <c r="D136" s="14">
        <f t="shared" si="41"/>
        <v>38.889223872809211</v>
      </c>
      <c r="E136" s="14">
        <f t="shared" si="41"/>
        <v>5.4060876025791531</v>
      </c>
      <c r="F136" s="14">
        <f t="shared" si="41"/>
        <v>0.50718081535853032</v>
      </c>
      <c r="G136" s="14">
        <f t="shared" si="41"/>
        <v>0.68961790921754773</v>
      </c>
      <c r="H136" s="14">
        <f t="shared" si="41"/>
        <v>0.87405048272918195</v>
      </c>
      <c r="I136" s="14">
        <f t="shared" si="41"/>
        <v>1.1964509100535592</v>
      </c>
      <c r="J136" s="14">
        <f t="shared" si="41"/>
        <v>56.180141665530492</v>
      </c>
      <c r="K136" s="14">
        <f t="shared" si="41"/>
        <v>0.2825433390747451</v>
      </c>
      <c r="L136" s="14">
        <f t="shared" si="41"/>
        <v>0.56069258715788761</v>
      </c>
      <c r="M136" s="14">
        <f t="shared" si="41"/>
        <v>0.54039836571394517</v>
      </c>
      <c r="N136" s="14">
        <f t="shared" si="41"/>
        <v>0.77502500696902332</v>
      </c>
      <c r="O136" s="14">
        <f t="shared" si="41"/>
        <v>2.7281694581657958</v>
      </c>
      <c r="P136" s="14">
        <f t="shared" si="41"/>
        <v>31.282270223462092</v>
      </c>
    </row>
  </sheetData>
  <mergeCells count="3">
    <mergeCell ref="A17:P17"/>
    <mergeCell ref="A3:P3"/>
    <mergeCell ref="A2:P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1"/>
  <sheetViews>
    <sheetView workbookViewId="0">
      <pane ySplit="1" topLeftCell="A2" activePane="bottomLeft" state="frozen"/>
      <selection pane="bottomLeft"/>
    </sheetView>
  </sheetViews>
  <sheetFormatPr baseColWidth="10" defaultColWidth="9.140625" defaultRowHeight="15" x14ac:dyDescent="0.25"/>
  <cols>
    <col min="1" max="13" width="15" customWidth="1"/>
  </cols>
  <sheetData>
    <row r="1" spans="1:13" ht="45" customHeight="1" x14ac:dyDescent="0.25">
      <c r="A1" s="7" t="s">
        <v>5</v>
      </c>
      <c r="B1" s="7" t="s">
        <v>159</v>
      </c>
      <c r="C1" s="7" t="s">
        <v>160</v>
      </c>
      <c r="D1" s="7" t="s">
        <v>161</v>
      </c>
      <c r="E1" s="7" t="s">
        <v>31</v>
      </c>
      <c r="F1" s="7" t="s">
        <v>48</v>
      </c>
      <c r="G1" s="7" t="s">
        <v>162</v>
      </c>
      <c r="H1" s="7" t="s">
        <v>163</v>
      </c>
      <c r="I1" s="7" t="s">
        <v>164</v>
      </c>
      <c r="J1" s="7" t="s">
        <v>165</v>
      </c>
      <c r="K1" s="7" t="s">
        <v>166</v>
      </c>
      <c r="L1" s="7" t="s">
        <v>167</v>
      </c>
      <c r="M1" s="7" t="s">
        <v>168</v>
      </c>
    </row>
    <row r="2" spans="1:13" x14ac:dyDescent="0.25">
      <c r="A2" s="10">
        <v>1</v>
      </c>
      <c r="B2" s="10">
        <v>1</v>
      </c>
      <c r="C2" s="13">
        <v>828602</v>
      </c>
      <c r="D2" s="13">
        <v>828169</v>
      </c>
      <c r="E2" s="9">
        <v>1108.8</v>
      </c>
      <c r="F2" s="9">
        <v>186.9</v>
      </c>
      <c r="G2" s="11">
        <v>1.4420999999999999</v>
      </c>
      <c r="H2" s="13">
        <v>2340</v>
      </c>
      <c r="I2" s="13">
        <v>26745</v>
      </c>
      <c r="J2" s="10">
        <v>80</v>
      </c>
      <c r="K2" s="13">
        <v>45</v>
      </c>
      <c r="L2" s="17">
        <v>24</v>
      </c>
      <c r="M2" s="13">
        <v>0</v>
      </c>
    </row>
    <row r="3" spans="1:13" x14ac:dyDescent="0.25">
      <c r="A3" s="10">
        <v>2</v>
      </c>
      <c r="B3" s="10">
        <v>2</v>
      </c>
      <c r="C3" s="13">
        <v>828366</v>
      </c>
      <c r="D3" s="13">
        <v>827916</v>
      </c>
      <c r="E3" s="9">
        <v>1110.3</v>
      </c>
      <c r="F3" s="9">
        <v>188.1</v>
      </c>
      <c r="G3" s="11">
        <v>1.4419</v>
      </c>
      <c r="H3" s="13">
        <v>3439</v>
      </c>
      <c r="I3" s="13">
        <v>27086</v>
      </c>
      <c r="J3" s="10">
        <v>82</v>
      </c>
      <c r="K3" s="13">
        <v>42</v>
      </c>
      <c r="L3" s="17">
        <v>24</v>
      </c>
      <c r="M3" s="13">
        <v>0</v>
      </c>
    </row>
    <row r="4" spans="1:13" x14ac:dyDescent="0.25">
      <c r="A4" s="10">
        <v>3</v>
      </c>
      <c r="B4" s="10">
        <v>3</v>
      </c>
      <c r="C4" s="13">
        <v>827159</v>
      </c>
      <c r="D4" s="13">
        <v>826721</v>
      </c>
      <c r="E4" s="9">
        <v>1109.9000000000001</v>
      </c>
      <c r="F4" s="9">
        <v>187.6</v>
      </c>
      <c r="G4" s="11">
        <v>1.4429000000000001</v>
      </c>
      <c r="H4" s="13">
        <v>2338</v>
      </c>
      <c r="I4" s="13">
        <v>26817</v>
      </c>
      <c r="J4" s="10">
        <v>82</v>
      </c>
      <c r="K4" s="13">
        <v>25</v>
      </c>
      <c r="L4" s="17">
        <v>24</v>
      </c>
      <c r="M4" s="13">
        <v>0</v>
      </c>
    </row>
    <row r="5" spans="1:13" x14ac:dyDescent="0.25">
      <c r="A5" s="10">
        <v>4</v>
      </c>
      <c r="B5" s="10">
        <v>4</v>
      </c>
      <c r="C5" s="13">
        <v>827535</v>
      </c>
      <c r="D5" s="13">
        <v>827169</v>
      </c>
      <c r="E5" s="9">
        <v>1107.2</v>
      </c>
      <c r="F5" s="9">
        <v>184.9</v>
      </c>
      <c r="G5" s="11">
        <v>1.4431</v>
      </c>
      <c r="H5" s="13">
        <v>2591</v>
      </c>
      <c r="I5" s="13">
        <v>26886</v>
      </c>
      <c r="J5" s="10">
        <v>81</v>
      </c>
      <c r="K5" s="13">
        <v>35</v>
      </c>
      <c r="L5" s="17">
        <v>24</v>
      </c>
      <c r="M5" s="13">
        <v>0</v>
      </c>
    </row>
    <row r="6" spans="1:13" x14ac:dyDescent="0.25">
      <c r="A6" s="10">
        <v>5</v>
      </c>
      <c r="B6" s="10">
        <v>5</v>
      </c>
      <c r="C6" s="13">
        <v>827349</v>
      </c>
      <c r="D6" s="13">
        <v>826902</v>
      </c>
      <c r="E6" s="9">
        <v>1111</v>
      </c>
      <c r="F6" s="9">
        <v>188.8</v>
      </c>
      <c r="G6" s="11">
        <v>1.4428000000000001</v>
      </c>
      <c r="H6" s="13">
        <v>3226</v>
      </c>
      <c r="I6" s="13">
        <v>26771</v>
      </c>
      <c r="J6" s="10">
        <v>83</v>
      </c>
      <c r="K6" s="13">
        <v>31</v>
      </c>
      <c r="L6" s="17">
        <v>24</v>
      </c>
      <c r="M6" s="13">
        <v>0</v>
      </c>
    </row>
    <row r="7" spans="1:13" x14ac:dyDescent="0.25">
      <c r="A7" s="10">
        <v>6</v>
      </c>
      <c r="B7" s="10">
        <v>6</v>
      </c>
      <c r="C7" s="13">
        <v>827087</v>
      </c>
      <c r="D7" s="13">
        <v>826639</v>
      </c>
      <c r="E7" s="9">
        <v>1110.5</v>
      </c>
      <c r="F7" s="9">
        <v>187.2</v>
      </c>
      <c r="G7" s="11">
        <v>1.4431</v>
      </c>
      <c r="H7" s="13">
        <v>5194</v>
      </c>
      <c r="I7" s="13">
        <v>26523</v>
      </c>
      <c r="J7" s="10">
        <v>82</v>
      </c>
      <c r="K7" s="13">
        <v>35</v>
      </c>
      <c r="L7" s="17">
        <v>24</v>
      </c>
      <c r="M7" s="13">
        <v>0</v>
      </c>
    </row>
    <row r="8" spans="1:13" x14ac:dyDescent="0.25">
      <c r="A8" s="10">
        <v>7</v>
      </c>
      <c r="B8" s="10">
        <v>7</v>
      </c>
      <c r="C8" s="13">
        <v>828212</v>
      </c>
      <c r="D8" s="13">
        <v>827795</v>
      </c>
      <c r="E8" s="9">
        <v>1110.2</v>
      </c>
      <c r="F8" s="9">
        <v>188.2</v>
      </c>
      <c r="G8" s="11">
        <v>1.4423999999999999</v>
      </c>
      <c r="H8" s="13">
        <v>3352</v>
      </c>
      <c r="I8" s="13">
        <v>27152</v>
      </c>
      <c r="J8" s="10">
        <v>83</v>
      </c>
      <c r="K8" s="13">
        <v>28</v>
      </c>
      <c r="L8" s="17">
        <v>24</v>
      </c>
      <c r="M8" s="13">
        <v>0</v>
      </c>
    </row>
    <row r="9" spans="1:13" x14ac:dyDescent="0.25">
      <c r="A9" s="10">
        <v>8</v>
      </c>
      <c r="B9" s="10">
        <v>8</v>
      </c>
      <c r="C9" s="13">
        <v>827037</v>
      </c>
      <c r="D9" s="13">
        <v>826659</v>
      </c>
      <c r="E9" s="9">
        <v>1110.7</v>
      </c>
      <c r="F9" s="9">
        <v>189.1</v>
      </c>
      <c r="G9" s="11">
        <v>1.4427000000000001</v>
      </c>
      <c r="H9" s="13">
        <v>3454</v>
      </c>
      <c r="I9" s="13">
        <v>26494</v>
      </c>
      <c r="J9" s="10">
        <v>83</v>
      </c>
      <c r="K9" s="13">
        <v>39</v>
      </c>
      <c r="L9" s="17">
        <v>24</v>
      </c>
      <c r="M9" s="13">
        <v>0</v>
      </c>
    </row>
    <row r="10" spans="1:13" x14ac:dyDescent="0.25">
      <c r="A10" s="10">
        <v>9</v>
      </c>
      <c r="B10" s="10">
        <v>9</v>
      </c>
      <c r="C10" s="13">
        <v>828365</v>
      </c>
      <c r="D10" s="13">
        <v>827987</v>
      </c>
      <c r="E10" s="9">
        <v>1110.5999999999999</v>
      </c>
      <c r="F10" s="9">
        <v>188.4</v>
      </c>
      <c r="G10" s="11">
        <v>1.4440999999999999</v>
      </c>
      <c r="H10" s="13">
        <v>1259</v>
      </c>
      <c r="I10" s="13">
        <v>26993</v>
      </c>
      <c r="J10" s="10">
        <v>81</v>
      </c>
      <c r="K10" s="13">
        <v>35</v>
      </c>
      <c r="L10" s="17">
        <v>24</v>
      </c>
      <c r="M10" s="13">
        <v>0</v>
      </c>
    </row>
    <row r="11" spans="1:13" x14ac:dyDescent="0.25">
      <c r="A11" s="10">
        <v>10</v>
      </c>
      <c r="B11" s="10">
        <v>10</v>
      </c>
      <c r="C11" s="13">
        <v>827293</v>
      </c>
      <c r="D11" s="13">
        <v>826908</v>
      </c>
      <c r="E11" s="9">
        <v>1111</v>
      </c>
      <c r="F11" s="9">
        <v>189.1</v>
      </c>
      <c r="G11" s="11">
        <v>1.4426000000000001</v>
      </c>
      <c r="H11" s="13">
        <v>3629</v>
      </c>
      <c r="I11" s="13">
        <v>27240</v>
      </c>
      <c r="J11" s="10">
        <v>81</v>
      </c>
      <c r="K11" s="13">
        <v>48</v>
      </c>
      <c r="L11" s="17">
        <v>24</v>
      </c>
      <c r="M11" s="13">
        <v>0</v>
      </c>
    </row>
    <row r="12" spans="1:13" x14ac:dyDescent="0.25">
      <c r="A12" s="10">
        <v>11</v>
      </c>
      <c r="B12" s="10">
        <v>11</v>
      </c>
      <c r="C12" s="13">
        <v>827031</v>
      </c>
      <c r="D12" s="13">
        <v>826595</v>
      </c>
      <c r="E12" s="9">
        <v>1110.4000000000001</v>
      </c>
      <c r="F12" s="9">
        <v>188.8</v>
      </c>
      <c r="G12" s="11">
        <v>1.4424999999999999</v>
      </c>
      <c r="H12" s="13">
        <v>2310</v>
      </c>
      <c r="I12" s="13">
        <v>26825</v>
      </c>
      <c r="J12" s="10">
        <v>82</v>
      </c>
      <c r="K12" s="13">
        <v>46</v>
      </c>
      <c r="L12" s="17">
        <v>24</v>
      </c>
      <c r="M12" s="13">
        <v>0</v>
      </c>
    </row>
    <row r="13" spans="1:13" x14ac:dyDescent="0.25">
      <c r="A13" s="10">
        <v>12</v>
      </c>
      <c r="B13" s="10">
        <v>12</v>
      </c>
      <c r="C13" s="13">
        <v>827821</v>
      </c>
      <c r="D13" s="13">
        <v>827407</v>
      </c>
      <c r="E13" s="9">
        <v>1110</v>
      </c>
      <c r="F13" s="9">
        <v>187.8</v>
      </c>
      <c r="G13" s="11">
        <v>1.4429000000000001</v>
      </c>
      <c r="H13" s="13">
        <v>3873</v>
      </c>
      <c r="I13" s="13">
        <v>26551</v>
      </c>
      <c r="J13" s="10">
        <v>80</v>
      </c>
      <c r="K13" s="13">
        <v>52</v>
      </c>
      <c r="L13" s="17">
        <v>24</v>
      </c>
      <c r="M13" s="13">
        <v>0</v>
      </c>
    </row>
    <row r="14" spans="1:13" x14ac:dyDescent="0.25">
      <c r="A14" s="10">
        <v>13</v>
      </c>
      <c r="B14" s="10">
        <v>13</v>
      </c>
      <c r="C14" s="13">
        <v>826127</v>
      </c>
      <c r="D14" s="13">
        <v>825715</v>
      </c>
      <c r="E14" s="9">
        <v>1111.4000000000001</v>
      </c>
      <c r="F14" s="9">
        <v>188.2</v>
      </c>
      <c r="G14" s="11">
        <v>1.4433</v>
      </c>
      <c r="H14" s="13">
        <v>4977</v>
      </c>
      <c r="I14" s="13">
        <v>26740</v>
      </c>
      <c r="J14" s="10">
        <v>81</v>
      </c>
      <c r="K14" s="13">
        <v>56</v>
      </c>
      <c r="L14" s="17">
        <v>24</v>
      </c>
      <c r="M14" s="13">
        <v>0</v>
      </c>
    </row>
    <row r="15" spans="1:13" x14ac:dyDescent="0.25">
      <c r="A15" s="10">
        <v>14</v>
      </c>
      <c r="B15" s="10">
        <v>14</v>
      </c>
      <c r="C15" s="13">
        <v>827455</v>
      </c>
      <c r="D15" s="13">
        <v>827024</v>
      </c>
      <c r="E15" s="9">
        <v>1109.8</v>
      </c>
      <c r="F15" s="9">
        <v>188.2</v>
      </c>
      <c r="G15" s="11">
        <v>1.4429000000000001</v>
      </c>
      <c r="H15" s="13">
        <v>4765</v>
      </c>
      <c r="I15" s="13">
        <v>27030</v>
      </c>
      <c r="J15" s="10">
        <v>81</v>
      </c>
      <c r="K15" s="13">
        <v>49</v>
      </c>
      <c r="L15" s="17">
        <v>24</v>
      </c>
      <c r="M15" s="13">
        <v>0</v>
      </c>
    </row>
    <row r="16" spans="1:13" x14ac:dyDescent="0.25">
      <c r="A16" s="10">
        <v>15</v>
      </c>
      <c r="B16" s="10">
        <v>15</v>
      </c>
      <c r="C16" s="13">
        <v>827679</v>
      </c>
      <c r="D16" s="13">
        <v>827254</v>
      </c>
      <c r="E16" s="9">
        <v>1112.0999999999999</v>
      </c>
      <c r="F16" s="9">
        <v>189.6</v>
      </c>
      <c r="G16" s="11">
        <v>1.4421999999999999</v>
      </c>
      <c r="H16" s="13">
        <v>5543</v>
      </c>
      <c r="I16" s="13">
        <v>27446</v>
      </c>
      <c r="J16" s="10">
        <v>82</v>
      </c>
      <c r="K16" s="13">
        <v>54</v>
      </c>
      <c r="L16" s="17">
        <v>24</v>
      </c>
      <c r="M16" s="13">
        <v>0</v>
      </c>
    </row>
    <row r="17" spans="1:13" x14ac:dyDescent="0.25">
      <c r="A17" s="10">
        <v>16</v>
      </c>
      <c r="B17" s="10">
        <v>16</v>
      </c>
      <c r="C17" s="13">
        <v>826676</v>
      </c>
      <c r="D17" s="13">
        <v>826206</v>
      </c>
      <c r="E17" s="9">
        <v>1107.8</v>
      </c>
      <c r="F17" s="9">
        <v>186.1</v>
      </c>
      <c r="G17" s="11">
        <v>1.4437</v>
      </c>
      <c r="H17" s="13">
        <v>4366</v>
      </c>
      <c r="I17" s="13">
        <v>26574</v>
      </c>
      <c r="J17" s="10">
        <v>81</v>
      </c>
      <c r="K17" s="13">
        <v>46</v>
      </c>
      <c r="L17" s="17">
        <v>24</v>
      </c>
      <c r="M17" s="13">
        <v>0</v>
      </c>
    </row>
    <row r="18" spans="1:13" x14ac:dyDescent="0.25">
      <c r="A18" s="10">
        <v>17</v>
      </c>
      <c r="B18" s="10">
        <v>17</v>
      </c>
      <c r="C18" s="13">
        <v>826341</v>
      </c>
      <c r="D18" s="13">
        <v>825832</v>
      </c>
      <c r="E18" s="9">
        <v>1109.8</v>
      </c>
      <c r="F18" s="9">
        <v>187.3</v>
      </c>
      <c r="G18" s="11">
        <v>1.4419999999999999</v>
      </c>
      <c r="H18" s="13">
        <v>2273</v>
      </c>
      <c r="I18" s="13">
        <v>26512</v>
      </c>
      <c r="J18" s="10">
        <v>83</v>
      </c>
      <c r="K18" s="13">
        <v>58</v>
      </c>
      <c r="L18" s="17">
        <v>24</v>
      </c>
      <c r="M18" s="13">
        <v>0</v>
      </c>
    </row>
    <row r="19" spans="1:13" x14ac:dyDescent="0.25">
      <c r="A19" s="10">
        <v>18</v>
      </c>
      <c r="B19" s="10">
        <v>18</v>
      </c>
      <c r="C19" s="13">
        <v>826855</v>
      </c>
      <c r="D19" s="13">
        <v>826369</v>
      </c>
      <c r="E19" s="9">
        <v>1114.2</v>
      </c>
      <c r="F19" s="9">
        <v>192.6</v>
      </c>
      <c r="G19" s="11">
        <v>1.4418</v>
      </c>
      <c r="H19" s="13">
        <v>15355</v>
      </c>
      <c r="I19" s="13">
        <v>26474</v>
      </c>
      <c r="J19" s="10">
        <v>84</v>
      </c>
      <c r="K19" s="13">
        <v>33</v>
      </c>
      <c r="L19" s="17">
        <v>24</v>
      </c>
      <c r="M19" s="13">
        <v>0</v>
      </c>
    </row>
    <row r="20" spans="1:13" x14ac:dyDescent="0.25">
      <c r="A20" s="10">
        <v>19</v>
      </c>
      <c r="B20" s="10">
        <v>19</v>
      </c>
      <c r="C20" s="13">
        <v>827043</v>
      </c>
      <c r="D20" s="13">
        <v>826604</v>
      </c>
      <c r="E20" s="9">
        <v>1110.0999999999999</v>
      </c>
      <c r="F20" s="9">
        <v>187.7</v>
      </c>
      <c r="G20" s="11">
        <v>1.4428000000000001</v>
      </c>
      <c r="H20" s="13">
        <v>3037</v>
      </c>
      <c r="I20" s="13">
        <v>26775</v>
      </c>
      <c r="J20" s="10">
        <v>82</v>
      </c>
      <c r="K20" s="13">
        <v>26</v>
      </c>
      <c r="L20" s="17">
        <v>24</v>
      </c>
      <c r="M20" s="13">
        <v>0</v>
      </c>
    </row>
    <row r="21" spans="1:13" x14ac:dyDescent="0.25">
      <c r="A21" s="10">
        <v>20</v>
      </c>
      <c r="B21" s="10">
        <v>20</v>
      </c>
      <c r="C21" s="13">
        <v>827892</v>
      </c>
      <c r="D21" s="13">
        <v>827390</v>
      </c>
      <c r="E21" s="9">
        <v>1112.7</v>
      </c>
      <c r="F21" s="9">
        <v>190.1</v>
      </c>
      <c r="G21" s="11">
        <v>1.4424999999999999</v>
      </c>
      <c r="H21" s="13">
        <v>2781</v>
      </c>
      <c r="I21" s="13">
        <v>26811</v>
      </c>
      <c r="J21" s="10">
        <v>82</v>
      </c>
      <c r="K21" s="13">
        <v>44</v>
      </c>
      <c r="L21" s="17">
        <v>24</v>
      </c>
      <c r="M21" s="13">
        <v>0</v>
      </c>
    </row>
    <row r="22" spans="1:13" x14ac:dyDescent="0.25">
      <c r="A22" s="10">
        <v>21</v>
      </c>
      <c r="B22" s="10">
        <v>21</v>
      </c>
      <c r="C22" s="13">
        <v>826910</v>
      </c>
      <c r="D22" s="13">
        <v>826531</v>
      </c>
      <c r="E22" s="9">
        <v>1110.9000000000001</v>
      </c>
      <c r="F22" s="9">
        <v>187.8</v>
      </c>
      <c r="G22" s="11">
        <v>1.4419</v>
      </c>
      <c r="H22" s="13">
        <v>5997</v>
      </c>
      <c r="I22" s="13">
        <v>26671</v>
      </c>
      <c r="J22" s="10">
        <v>81</v>
      </c>
      <c r="K22" s="13">
        <v>51</v>
      </c>
      <c r="L22" s="17">
        <v>24</v>
      </c>
      <c r="M22" s="13">
        <v>0</v>
      </c>
    </row>
    <row r="23" spans="1:13" x14ac:dyDescent="0.25">
      <c r="A23" s="10">
        <v>22</v>
      </c>
      <c r="B23" s="10">
        <v>22</v>
      </c>
      <c r="C23" s="13">
        <v>827003</v>
      </c>
      <c r="D23" s="13">
        <v>826593</v>
      </c>
      <c r="E23" s="9">
        <v>1110.8</v>
      </c>
      <c r="F23" s="9">
        <v>188.2</v>
      </c>
      <c r="G23" s="11">
        <v>1.4429000000000001</v>
      </c>
      <c r="H23" s="13">
        <v>3007</v>
      </c>
      <c r="I23" s="13">
        <v>26775</v>
      </c>
      <c r="J23" s="10">
        <v>83</v>
      </c>
      <c r="K23" s="13">
        <v>43</v>
      </c>
      <c r="L23" s="17">
        <v>24</v>
      </c>
      <c r="M23" s="13">
        <v>0</v>
      </c>
    </row>
    <row r="24" spans="1:13" x14ac:dyDescent="0.25">
      <c r="A24" s="10">
        <v>23</v>
      </c>
      <c r="B24" s="10">
        <v>23</v>
      </c>
      <c r="C24" s="13">
        <v>827767</v>
      </c>
      <c r="D24" s="13">
        <v>827385</v>
      </c>
      <c r="E24" s="9">
        <v>1109.3</v>
      </c>
      <c r="F24" s="9">
        <v>187</v>
      </c>
      <c r="G24" s="11">
        <v>1.4429000000000001</v>
      </c>
      <c r="H24" s="13">
        <v>3624</v>
      </c>
      <c r="I24" s="13">
        <v>26892</v>
      </c>
      <c r="J24" s="10">
        <v>80</v>
      </c>
      <c r="K24" s="13">
        <v>28</v>
      </c>
      <c r="L24" s="17">
        <v>24</v>
      </c>
      <c r="M24" s="13">
        <v>0</v>
      </c>
    </row>
    <row r="25" spans="1:13" x14ac:dyDescent="0.25">
      <c r="A25" s="10">
        <v>24</v>
      </c>
      <c r="B25" s="10">
        <v>24</v>
      </c>
      <c r="C25" s="13">
        <v>826350</v>
      </c>
      <c r="D25" s="13">
        <v>825926</v>
      </c>
      <c r="E25" s="9">
        <v>1108.5</v>
      </c>
      <c r="F25" s="9">
        <v>186.4</v>
      </c>
      <c r="G25" s="11">
        <v>1.4432</v>
      </c>
      <c r="H25" s="13">
        <v>2987</v>
      </c>
      <c r="I25" s="13">
        <v>26461</v>
      </c>
      <c r="J25" s="10">
        <v>83</v>
      </c>
      <c r="K25" s="13">
        <v>36</v>
      </c>
      <c r="L25" s="17">
        <v>24</v>
      </c>
      <c r="M25" s="13">
        <v>0</v>
      </c>
    </row>
    <row r="26" spans="1:13" x14ac:dyDescent="0.25">
      <c r="A26" s="10">
        <v>25</v>
      </c>
      <c r="B26" s="10">
        <v>25</v>
      </c>
      <c r="C26" s="13">
        <v>829459</v>
      </c>
      <c r="D26" s="13">
        <v>829000</v>
      </c>
      <c r="E26" s="9">
        <v>1108.4000000000001</v>
      </c>
      <c r="F26" s="9">
        <v>186.3</v>
      </c>
      <c r="G26" s="11">
        <v>1.4424999999999999</v>
      </c>
      <c r="H26" s="13">
        <v>2565</v>
      </c>
      <c r="I26" s="13">
        <v>26326</v>
      </c>
      <c r="J26" s="10">
        <v>80</v>
      </c>
      <c r="K26" s="13">
        <v>40</v>
      </c>
      <c r="L26" s="17">
        <v>24</v>
      </c>
      <c r="M26" s="13">
        <v>0</v>
      </c>
    </row>
    <row r="27" spans="1:13" x14ac:dyDescent="0.25">
      <c r="A27" s="10">
        <v>26</v>
      </c>
      <c r="B27" s="10">
        <v>26</v>
      </c>
      <c r="C27" s="13">
        <v>825453</v>
      </c>
      <c r="D27" s="13">
        <v>825023</v>
      </c>
      <c r="E27" s="9">
        <v>1112</v>
      </c>
      <c r="F27" s="9">
        <v>189.3</v>
      </c>
      <c r="G27" s="11">
        <v>1.4426000000000001</v>
      </c>
      <c r="H27" s="13">
        <v>4682</v>
      </c>
      <c r="I27" s="13">
        <v>27655</v>
      </c>
      <c r="J27" s="10">
        <v>83</v>
      </c>
      <c r="K27" s="13">
        <v>40</v>
      </c>
      <c r="L27" s="17">
        <v>24</v>
      </c>
      <c r="M27" s="13">
        <v>0</v>
      </c>
    </row>
    <row r="28" spans="1:13" x14ac:dyDescent="0.25">
      <c r="A28" s="10">
        <v>27</v>
      </c>
      <c r="B28" s="10">
        <v>27</v>
      </c>
      <c r="C28" s="13">
        <v>829027</v>
      </c>
      <c r="D28" s="13">
        <v>828645</v>
      </c>
      <c r="E28" s="9">
        <v>1108.9000000000001</v>
      </c>
      <c r="F28" s="9">
        <v>187.3</v>
      </c>
      <c r="G28" s="11">
        <v>1.4437</v>
      </c>
      <c r="H28" s="13">
        <v>3590</v>
      </c>
      <c r="I28" s="13">
        <v>26890</v>
      </c>
      <c r="J28" s="10">
        <v>82</v>
      </c>
      <c r="K28" s="13">
        <v>37</v>
      </c>
      <c r="L28" s="17">
        <v>24</v>
      </c>
      <c r="M28" s="13">
        <v>0</v>
      </c>
    </row>
    <row r="29" spans="1:13" x14ac:dyDescent="0.25">
      <c r="A29" s="10">
        <v>28</v>
      </c>
      <c r="B29" s="10">
        <v>28</v>
      </c>
      <c r="C29" s="13">
        <v>827966</v>
      </c>
      <c r="D29" s="13">
        <v>827521</v>
      </c>
      <c r="E29" s="9">
        <v>1106.3</v>
      </c>
      <c r="F29" s="9">
        <v>183.8</v>
      </c>
      <c r="G29" s="11">
        <v>1.4417</v>
      </c>
      <c r="H29" s="13">
        <v>2510</v>
      </c>
      <c r="I29" s="13">
        <v>26841</v>
      </c>
      <c r="J29" s="10">
        <v>80</v>
      </c>
      <c r="K29" s="13">
        <v>41</v>
      </c>
      <c r="L29" s="17">
        <v>24</v>
      </c>
      <c r="M29" s="13">
        <v>0</v>
      </c>
    </row>
    <row r="30" spans="1:13" x14ac:dyDescent="0.25">
      <c r="A30" s="10">
        <v>29</v>
      </c>
      <c r="B30" s="10">
        <v>29</v>
      </c>
      <c r="C30" s="13">
        <v>828033</v>
      </c>
      <c r="D30" s="13">
        <v>827653</v>
      </c>
      <c r="E30" s="9">
        <v>1112</v>
      </c>
      <c r="F30" s="9">
        <v>190.4</v>
      </c>
      <c r="G30" s="11">
        <v>1.4431</v>
      </c>
      <c r="H30" s="13">
        <v>11341</v>
      </c>
      <c r="I30" s="13">
        <v>27954</v>
      </c>
      <c r="J30" s="10">
        <v>83</v>
      </c>
      <c r="K30" s="13">
        <v>40</v>
      </c>
      <c r="L30" s="17">
        <v>24</v>
      </c>
      <c r="M30" s="13">
        <v>0</v>
      </c>
    </row>
    <row r="31" spans="1:13" x14ac:dyDescent="0.25">
      <c r="A31" s="10">
        <v>30</v>
      </c>
      <c r="B31" s="10">
        <v>30</v>
      </c>
      <c r="C31" s="13">
        <v>826282</v>
      </c>
      <c r="D31" s="13">
        <v>825879</v>
      </c>
      <c r="E31" s="9">
        <v>1106.4000000000001</v>
      </c>
      <c r="F31" s="9">
        <v>184.4</v>
      </c>
      <c r="G31" s="11">
        <v>1.4426000000000001</v>
      </c>
      <c r="H31" s="13">
        <v>1195</v>
      </c>
      <c r="I31" s="13">
        <v>26539</v>
      </c>
      <c r="J31" s="10">
        <v>82</v>
      </c>
      <c r="K31" s="13">
        <v>31</v>
      </c>
      <c r="L31" s="17">
        <v>24</v>
      </c>
      <c r="M31" s="13">
        <v>0</v>
      </c>
    </row>
    <row r="32" spans="1:13" x14ac:dyDescent="0.25">
      <c r="A32" s="10">
        <v>31</v>
      </c>
      <c r="B32" s="10">
        <v>31</v>
      </c>
      <c r="C32" s="13">
        <v>826333</v>
      </c>
      <c r="D32" s="13">
        <v>825984</v>
      </c>
      <c r="E32" s="9">
        <v>1115</v>
      </c>
      <c r="F32" s="9">
        <v>192.6</v>
      </c>
      <c r="G32" s="11">
        <v>1.4427000000000001</v>
      </c>
      <c r="H32" s="13">
        <v>13440</v>
      </c>
      <c r="I32" s="13">
        <v>27026</v>
      </c>
      <c r="J32" s="10">
        <v>79</v>
      </c>
      <c r="K32" s="13">
        <v>34</v>
      </c>
      <c r="L32" s="17">
        <v>24</v>
      </c>
      <c r="M32" s="13">
        <v>0</v>
      </c>
    </row>
    <row r="33" spans="1:13" x14ac:dyDescent="0.25">
      <c r="A33" s="10">
        <v>32</v>
      </c>
      <c r="B33" s="10">
        <v>32</v>
      </c>
      <c r="C33" s="13">
        <v>827975</v>
      </c>
      <c r="D33" s="13">
        <v>827539</v>
      </c>
      <c r="E33" s="9">
        <v>1110.0999999999999</v>
      </c>
      <c r="F33" s="9">
        <v>187.7</v>
      </c>
      <c r="G33" s="11">
        <v>1.4431</v>
      </c>
      <c r="H33" s="13">
        <v>5989</v>
      </c>
      <c r="I33" s="13">
        <v>26803</v>
      </c>
      <c r="J33" s="10">
        <v>81</v>
      </c>
      <c r="K33" s="13">
        <v>47</v>
      </c>
      <c r="L33" s="17">
        <v>24</v>
      </c>
      <c r="M33" s="13">
        <v>0</v>
      </c>
    </row>
    <row r="34" spans="1:13" x14ac:dyDescent="0.25">
      <c r="A34" s="10">
        <v>33</v>
      </c>
      <c r="B34" s="10">
        <v>33</v>
      </c>
      <c r="C34" s="13">
        <v>828440</v>
      </c>
      <c r="D34" s="13">
        <v>828028</v>
      </c>
      <c r="E34" s="9">
        <v>1111.9000000000001</v>
      </c>
      <c r="F34" s="9">
        <v>189.9</v>
      </c>
      <c r="G34" s="11">
        <v>1.4426000000000001</v>
      </c>
      <c r="H34" s="13">
        <v>3051</v>
      </c>
      <c r="I34" s="13">
        <v>27133</v>
      </c>
      <c r="J34" s="10">
        <v>80</v>
      </c>
      <c r="K34" s="13">
        <v>30</v>
      </c>
      <c r="L34" s="17">
        <v>24</v>
      </c>
      <c r="M34" s="13">
        <v>0</v>
      </c>
    </row>
    <row r="35" spans="1:13" x14ac:dyDescent="0.25">
      <c r="A35" s="10">
        <v>34</v>
      </c>
      <c r="B35" s="10">
        <v>34</v>
      </c>
      <c r="C35" s="13">
        <v>826980</v>
      </c>
      <c r="D35" s="13">
        <v>826567</v>
      </c>
      <c r="E35" s="9">
        <v>1109.3</v>
      </c>
      <c r="F35" s="9">
        <v>186.8</v>
      </c>
      <c r="G35" s="11">
        <v>1.4436</v>
      </c>
      <c r="H35" s="13">
        <v>1758</v>
      </c>
      <c r="I35" s="13">
        <v>26479</v>
      </c>
      <c r="J35" s="10">
        <v>83</v>
      </c>
      <c r="K35" s="13">
        <v>35</v>
      </c>
      <c r="L35" s="17">
        <v>24</v>
      </c>
      <c r="M35" s="13">
        <v>0</v>
      </c>
    </row>
    <row r="36" spans="1:13" x14ac:dyDescent="0.25">
      <c r="A36" s="10">
        <v>35</v>
      </c>
      <c r="B36" s="10">
        <v>35</v>
      </c>
      <c r="C36" s="13">
        <v>827896</v>
      </c>
      <c r="D36" s="13">
        <v>827468</v>
      </c>
      <c r="E36" s="9">
        <v>1112.7</v>
      </c>
      <c r="F36" s="9">
        <v>191.4</v>
      </c>
      <c r="G36" s="11">
        <v>1.4424999999999999</v>
      </c>
      <c r="H36" s="13">
        <v>8555</v>
      </c>
      <c r="I36" s="13">
        <v>27258</v>
      </c>
      <c r="J36" s="10">
        <v>81</v>
      </c>
      <c r="K36" s="13">
        <v>30</v>
      </c>
      <c r="L36" s="17">
        <v>24</v>
      </c>
      <c r="M36" s="13">
        <v>0</v>
      </c>
    </row>
    <row r="37" spans="1:13" x14ac:dyDescent="0.25">
      <c r="A37" s="10">
        <v>36</v>
      </c>
      <c r="B37" s="10">
        <v>36</v>
      </c>
      <c r="C37" s="13">
        <v>827456</v>
      </c>
      <c r="D37" s="13">
        <v>826997</v>
      </c>
      <c r="E37" s="9">
        <v>1113.3</v>
      </c>
      <c r="F37" s="9">
        <v>191.1</v>
      </c>
      <c r="G37" s="11">
        <v>1.4424999999999999</v>
      </c>
      <c r="H37" s="13">
        <v>3391</v>
      </c>
      <c r="I37" s="13">
        <v>27133</v>
      </c>
      <c r="J37" s="10">
        <v>81</v>
      </c>
      <c r="K37" s="13">
        <v>39</v>
      </c>
      <c r="L37" s="17">
        <v>24</v>
      </c>
      <c r="M37" s="13">
        <v>0</v>
      </c>
    </row>
    <row r="38" spans="1:13" x14ac:dyDescent="0.25">
      <c r="A38" s="10">
        <v>37</v>
      </c>
      <c r="B38" s="10">
        <v>37</v>
      </c>
      <c r="C38" s="13">
        <v>826715</v>
      </c>
      <c r="D38" s="13">
        <v>826315</v>
      </c>
      <c r="E38" s="9">
        <v>1110.5999999999999</v>
      </c>
      <c r="F38" s="9">
        <v>189.2</v>
      </c>
      <c r="G38" s="11">
        <v>1.4419999999999999</v>
      </c>
      <c r="H38" s="13">
        <v>2777</v>
      </c>
      <c r="I38" s="13">
        <v>26764</v>
      </c>
      <c r="J38" s="10">
        <v>80</v>
      </c>
      <c r="K38" s="13">
        <v>41</v>
      </c>
      <c r="L38" s="17">
        <v>24</v>
      </c>
      <c r="M38" s="13">
        <v>0</v>
      </c>
    </row>
    <row r="39" spans="1:13" x14ac:dyDescent="0.25">
      <c r="A39" s="10">
        <v>38</v>
      </c>
      <c r="B39" s="10">
        <v>38</v>
      </c>
      <c r="C39" s="13">
        <v>826587</v>
      </c>
      <c r="D39" s="13">
        <v>826109</v>
      </c>
      <c r="E39" s="9">
        <v>1110.5999999999999</v>
      </c>
      <c r="F39" s="9">
        <v>188.2</v>
      </c>
      <c r="G39" s="11">
        <v>1.4424999999999999</v>
      </c>
      <c r="H39" s="13">
        <v>3421</v>
      </c>
      <c r="I39" s="13">
        <v>26639</v>
      </c>
      <c r="J39" s="10">
        <v>81</v>
      </c>
      <c r="K39" s="13">
        <v>69</v>
      </c>
      <c r="L39" s="17">
        <v>24</v>
      </c>
      <c r="M39" s="13">
        <v>0</v>
      </c>
    </row>
    <row r="40" spans="1:13" x14ac:dyDescent="0.25">
      <c r="A40" s="10">
        <v>39</v>
      </c>
      <c r="B40" s="10">
        <v>39</v>
      </c>
      <c r="C40" s="13">
        <v>825918</v>
      </c>
      <c r="D40" s="13">
        <v>825508</v>
      </c>
      <c r="E40" s="9">
        <v>1111.8</v>
      </c>
      <c r="F40" s="9">
        <v>189.5</v>
      </c>
      <c r="G40" s="11">
        <v>1.4436</v>
      </c>
      <c r="H40" s="13">
        <v>3486</v>
      </c>
      <c r="I40" s="13">
        <v>26115</v>
      </c>
      <c r="J40" s="10">
        <v>81</v>
      </c>
      <c r="K40" s="13">
        <v>38</v>
      </c>
      <c r="L40" s="17">
        <v>24</v>
      </c>
      <c r="M40" s="13">
        <v>0</v>
      </c>
    </row>
    <row r="41" spans="1:13" x14ac:dyDescent="0.25">
      <c r="A41" s="10">
        <v>40</v>
      </c>
      <c r="B41" s="10">
        <v>40</v>
      </c>
      <c r="C41" s="13">
        <v>827468</v>
      </c>
      <c r="D41" s="13">
        <v>827030</v>
      </c>
      <c r="E41" s="9">
        <v>1113.2</v>
      </c>
      <c r="F41" s="9">
        <v>190.8</v>
      </c>
      <c r="G41" s="11">
        <v>1.4433</v>
      </c>
      <c r="H41" s="13">
        <v>4293</v>
      </c>
      <c r="I41" s="13">
        <v>27794</v>
      </c>
      <c r="J41" s="10">
        <v>82</v>
      </c>
      <c r="K41" s="13">
        <v>34</v>
      </c>
      <c r="L41" s="17">
        <v>24</v>
      </c>
      <c r="M41" s="13">
        <v>0</v>
      </c>
    </row>
    <row r="42" spans="1:13" x14ac:dyDescent="0.25">
      <c r="A42" s="10">
        <v>41</v>
      </c>
      <c r="B42" s="10">
        <v>41</v>
      </c>
      <c r="C42" s="13">
        <v>826723</v>
      </c>
      <c r="D42" s="13">
        <v>826340</v>
      </c>
      <c r="E42" s="9">
        <v>1113.5999999999999</v>
      </c>
      <c r="F42" s="9">
        <v>190.9</v>
      </c>
      <c r="G42" s="11">
        <v>1.4431</v>
      </c>
      <c r="H42" s="13">
        <v>8128</v>
      </c>
      <c r="I42" s="13">
        <v>27429</v>
      </c>
      <c r="J42" s="10">
        <v>82</v>
      </c>
      <c r="K42" s="13">
        <v>39</v>
      </c>
      <c r="L42" s="17">
        <v>24</v>
      </c>
      <c r="M42" s="13">
        <v>0</v>
      </c>
    </row>
    <row r="43" spans="1:13" x14ac:dyDescent="0.25">
      <c r="A43" s="10">
        <v>42</v>
      </c>
      <c r="B43" s="10">
        <v>42</v>
      </c>
      <c r="C43" s="13">
        <v>827312</v>
      </c>
      <c r="D43" s="13">
        <v>826738</v>
      </c>
      <c r="E43" s="9">
        <v>1105</v>
      </c>
      <c r="F43" s="9">
        <v>184.3</v>
      </c>
      <c r="G43" s="11">
        <v>1.4417</v>
      </c>
      <c r="H43" s="13">
        <v>806</v>
      </c>
      <c r="I43" s="13">
        <v>26737</v>
      </c>
      <c r="J43" s="10">
        <v>83</v>
      </c>
      <c r="K43" s="13">
        <v>29</v>
      </c>
      <c r="L43" s="17">
        <v>24</v>
      </c>
      <c r="M43" s="13">
        <v>0</v>
      </c>
    </row>
    <row r="44" spans="1:13" x14ac:dyDescent="0.25">
      <c r="A44" s="10">
        <v>43</v>
      </c>
      <c r="B44" s="10">
        <v>43</v>
      </c>
      <c r="C44" s="13">
        <v>826015</v>
      </c>
      <c r="D44" s="13">
        <v>825544</v>
      </c>
      <c r="E44" s="9">
        <v>1113</v>
      </c>
      <c r="F44" s="9">
        <v>191</v>
      </c>
      <c r="G44" s="11">
        <v>1.4427000000000001</v>
      </c>
      <c r="H44" s="13">
        <v>9804</v>
      </c>
      <c r="I44" s="13">
        <v>27336</v>
      </c>
      <c r="J44" s="10">
        <v>82</v>
      </c>
      <c r="K44" s="13">
        <v>29</v>
      </c>
      <c r="L44" s="17">
        <v>24</v>
      </c>
      <c r="M44" s="13">
        <v>0</v>
      </c>
    </row>
    <row r="45" spans="1:13" x14ac:dyDescent="0.25">
      <c r="A45" s="10">
        <v>44</v>
      </c>
      <c r="B45" s="10">
        <v>44</v>
      </c>
      <c r="C45" s="13">
        <v>826646</v>
      </c>
      <c r="D45" s="13">
        <v>826202</v>
      </c>
      <c r="E45" s="9">
        <v>1111.5999999999999</v>
      </c>
      <c r="F45" s="9">
        <v>189.6</v>
      </c>
      <c r="G45" s="11">
        <v>1.4413</v>
      </c>
      <c r="H45" s="13">
        <v>4367</v>
      </c>
      <c r="I45" s="13">
        <v>26917</v>
      </c>
      <c r="J45" s="10">
        <v>80</v>
      </c>
      <c r="K45" s="13">
        <v>47</v>
      </c>
      <c r="L45" s="17">
        <v>24</v>
      </c>
      <c r="M45" s="13">
        <v>0</v>
      </c>
    </row>
    <row r="46" spans="1:13" x14ac:dyDescent="0.25">
      <c r="A46" s="10">
        <v>45</v>
      </c>
      <c r="B46" s="10">
        <v>45</v>
      </c>
      <c r="C46" s="13">
        <v>827298</v>
      </c>
      <c r="D46" s="13">
        <v>826863</v>
      </c>
      <c r="E46" s="9">
        <v>1117.4000000000001</v>
      </c>
      <c r="F46" s="9">
        <v>194.7</v>
      </c>
      <c r="G46" s="11">
        <v>1.4420999999999999</v>
      </c>
      <c r="H46" s="13">
        <v>16914</v>
      </c>
      <c r="I46" s="13">
        <v>27731</v>
      </c>
      <c r="J46" s="10">
        <v>82</v>
      </c>
      <c r="K46" s="13">
        <v>59</v>
      </c>
      <c r="L46" s="17">
        <v>24</v>
      </c>
      <c r="M46" s="13">
        <v>0</v>
      </c>
    </row>
    <row r="47" spans="1:13" x14ac:dyDescent="0.25">
      <c r="A47" s="10">
        <v>46</v>
      </c>
      <c r="B47" s="10">
        <v>46</v>
      </c>
      <c r="C47" s="13">
        <v>827674</v>
      </c>
      <c r="D47" s="13">
        <v>827307</v>
      </c>
      <c r="E47" s="9">
        <v>1109.8</v>
      </c>
      <c r="F47" s="9">
        <v>187.4</v>
      </c>
      <c r="G47" s="11">
        <v>1.4422999999999999</v>
      </c>
      <c r="H47" s="13">
        <v>2331</v>
      </c>
      <c r="I47" s="13">
        <v>26784</v>
      </c>
      <c r="J47" s="10">
        <v>83</v>
      </c>
      <c r="K47" s="13">
        <v>46</v>
      </c>
      <c r="L47" s="17">
        <v>24</v>
      </c>
      <c r="M47" s="13">
        <v>0</v>
      </c>
    </row>
    <row r="48" spans="1:13" x14ac:dyDescent="0.25">
      <c r="A48" s="10">
        <v>47</v>
      </c>
      <c r="B48" s="10">
        <v>47</v>
      </c>
      <c r="C48" s="13">
        <v>827479</v>
      </c>
      <c r="D48" s="13">
        <v>827005</v>
      </c>
      <c r="E48" s="9">
        <v>1110</v>
      </c>
      <c r="F48" s="9">
        <v>187.9</v>
      </c>
      <c r="G48" s="11">
        <v>1.4428000000000001</v>
      </c>
      <c r="H48" s="13">
        <v>5082</v>
      </c>
      <c r="I48" s="13">
        <v>26511</v>
      </c>
      <c r="J48" s="10">
        <v>82</v>
      </c>
      <c r="K48" s="13">
        <v>50</v>
      </c>
      <c r="L48" s="17">
        <v>24</v>
      </c>
      <c r="M48" s="13">
        <v>0</v>
      </c>
    </row>
    <row r="49" spans="1:13" x14ac:dyDescent="0.25">
      <c r="A49" s="10">
        <v>48</v>
      </c>
      <c r="B49" s="10">
        <v>48</v>
      </c>
      <c r="C49" s="13">
        <v>828142</v>
      </c>
      <c r="D49" s="13">
        <v>827742</v>
      </c>
      <c r="E49" s="9">
        <v>1117.5999999999999</v>
      </c>
      <c r="F49" s="9">
        <v>195.7</v>
      </c>
      <c r="G49" s="11">
        <v>1.4418</v>
      </c>
      <c r="H49" s="13">
        <v>13867</v>
      </c>
      <c r="I49" s="13">
        <v>27424</v>
      </c>
      <c r="J49" s="10">
        <v>80</v>
      </c>
      <c r="K49" s="13">
        <v>41</v>
      </c>
      <c r="L49" s="17">
        <v>24</v>
      </c>
      <c r="M49" s="13">
        <v>0</v>
      </c>
    </row>
    <row r="50" spans="1:13" x14ac:dyDescent="0.25">
      <c r="A50" s="10">
        <v>49</v>
      </c>
      <c r="B50" s="10">
        <v>49</v>
      </c>
      <c r="C50" s="13">
        <v>825945</v>
      </c>
      <c r="D50" s="13">
        <v>825558</v>
      </c>
      <c r="E50" s="9">
        <v>1106.8</v>
      </c>
      <c r="F50" s="9">
        <v>185.3</v>
      </c>
      <c r="G50" s="11">
        <v>1.4423999999999999</v>
      </c>
      <c r="H50" s="13">
        <v>2404</v>
      </c>
      <c r="I50" s="13">
        <v>26224</v>
      </c>
      <c r="J50" s="10">
        <v>82</v>
      </c>
      <c r="K50" s="13">
        <v>38</v>
      </c>
      <c r="L50" s="17">
        <v>24</v>
      </c>
      <c r="M50" s="13">
        <v>0</v>
      </c>
    </row>
    <row r="51" spans="1:13" x14ac:dyDescent="0.25">
      <c r="A51" s="10">
        <v>50</v>
      </c>
      <c r="B51" s="10">
        <v>50</v>
      </c>
      <c r="C51" s="13">
        <v>828654</v>
      </c>
      <c r="D51" s="13">
        <v>828247</v>
      </c>
      <c r="E51" s="9">
        <v>1112.7</v>
      </c>
      <c r="F51" s="9">
        <v>190</v>
      </c>
      <c r="G51" s="11">
        <v>1.4437</v>
      </c>
      <c r="H51" s="13">
        <v>7169</v>
      </c>
      <c r="I51" s="13">
        <v>26720</v>
      </c>
      <c r="J51" s="10">
        <v>80</v>
      </c>
      <c r="K51" s="13">
        <v>41</v>
      </c>
      <c r="L51" s="17">
        <v>24</v>
      </c>
      <c r="M51" s="13">
        <v>0</v>
      </c>
    </row>
    <row r="52" spans="1:13" x14ac:dyDescent="0.25">
      <c r="A52" s="10">
        <v>51</v>
      </c>
      <c r="B52" s="10">
        <v>51</v>
      </c>
      <c r="C52" s="13">
        <v>825388</v>
      </c>
      <c r="D52" s="13">
        <v>824896</v>
      </c>
      <c r="E52" s="9">
        <v>1109.9000000000001</v>
      </c>
      <c r="F52" s="9">
        <v>187.8</v>
      </c>
      <c r="G52" s="11">
        <v>1.4417</v>
      </c>
      <c r="H52" s="13">
        <v>1857</v>
      </c>
      <c r="I52" s="13">
        <v>26928</v>
      </c>
      <c r="J52" s="10">
        <v>81</v>
      </c>
      <c r="K52" s="13">
        <v>45</v>
      </c>
      <c r="L52" s="17">
        <v>24</v>
      </c>
      <c r="M52" s="13">
        <v>0</v>
      </c>
    </row>
    <row r="53" spans="1:13" x14ac:dyDescent="0.25">
      <c r="A53" s="10">
        <v>52</v>
      </c>
      <c r="B53" s="10">
        <v>52</v>
      </c>
      <c r="C53" s="13">
        <v>827739</v>
      </c>
      <c r="D53" s="13">
        <v>827327</v>
      </c>
      <c r="E53" s="9">
        <v>1109.2</v>
      </c>
      <c r="F53" s="9">
        <v>187.1</v>
      </c>
      <c r="G53" s="11">
        <v>1.4426000000000001</v>
      </c>
      <c r="H53" s="13">
        <v>4514</v>
      </c>
      <c r="I53" s="13">
        <v>26853</v>
      </c>
      <c r="J53" s="10">
        <v>84</v>
      </c>
      <c r="K53" s="13">
        <v>31</v>
      </c>
      <c r="L53" s="17">
        <v>24</v>
      </c>
      <c r="M53" s="13">
        <v>0</v>
      </c>
    </row>
    <row r="54" spans="1:13" x14ac:dyDescent="0.25">
      <c r="A54" s="10">
        <v>53</v>
      </c>
      <c r="B54" s="10">
        <v>53</v>
      </c>
      <c r="C54" s="13">
        <v>827055</v>
      </c>
      <c r="D54" s="13">
        <v>826662</v>
      </c>
      <c r="E54" s="9">
        <v>1113.3</v>
      </c>
      <c r="F54" s="9">
        <v>191</v>
      </c>
      <c r="G54" s="11">
        <v>1.4433</v>
      </c>
      <c r="H54" s="13">
        <v>7512</v>
      </c>
      <c r="I54" s="13">
        <v>26990</v>
      </c>
      <c r="J54" s="10">
        <v>82</v>
      </c>
      <c r="K54" s="13">
        <v>32</v>
      </c>
      <c r="L54" s="17">
        <v>24</v>
      </c>
      <c r="M54" s="13">
        <v>0</v>
      </c>
    </row>
    <row r="55" spans="1:13" x14ac:dyDescent="0.25">
      <c r="A55" s="10">
        <v>54</v>
      </c>
      <c r="B55" s="10">
        <v>54</v>
      </c>
      <c r="C55" s="13">
        <v>827469</v>
      </c>
      <c r="D55" s="13">
        <v>827052</v>
      </c>
      <c r="E55" s="9">
        <v>1108.8</v>
      </c>
      <c r="F55" s="9">
        <v>186</v>
      </c>
      <c r="G55" s="11">
        <v>1.4432</v>
      </c>
      <c r="H55" s="13">
        <v>3737</v>
      </c>
      <c r="I55" s="13">
        <v>26884</v>
      </c>
      <c r="J55" s="10">
        <v>83</v>
      </c>
      <c r="K55" s="13">
        <v>42</v>
      </c>
      <c r="L55" s="17">
        <v>24</v>
      </c>
      <c r="M55" s="13">
        <v>0</v>
      </c>
    </row>
    <row r="56" spans="1:13" x14ac:dyDescent="0.25">
      <c r="A56" s="10">
        <v>55</v>
      </c>
      <c r="B56" s="10">
        <v>55</v>
      </c>
      <c r="C56" s="13">
        <v>827293</v>
      </c>
      <c r="D56" s="13">
        <v>826865</v>
      </c>
      <c r="E56" s="9">
        <v>1111.7</v>
      </c>
      <c r="F56" s="9">
        <v>189.6</v>
      </c>
      <c r="G56" s="11">
        <v>1.4426000000000001</v>
      </c>
      <c r="H56" s="13">
        <v>4443</v>
      </c>
      <c r="I56" s="13">
        <v>27159</v>
      </c>
      <c r="J56" s="10">
        <v>80</v>
      </c>
      <c r="K56" s="13">
        <v>49</v>
      </c>
      <c r="L56" s="17">
        <v>24</v>
      </c>
      <c r="M56" s="13">
        <v>0</v>
      </c>
    </row>
    <row r="57" spans="1:13" x14ac:dyDescent="0.25">
      <c r="A57" s="10">
        <v>56</v>
      </c>
      <c r="B57" s="10">
        <v>56</v>
      </c>
      <c r="C57" s="13">
        <v>827610</v>
      </c>
      <c r="D57" s="13">
        <v>827133</v>
      </c>
      <c r="E57" s="9">
        <v>1113.2</v>
      </c>
      <c r="F57" s="9">
        <v>189.9</v>
      </c>
      <c r="G57" s="11">
        <v>1.4443999999999999</v>
      </c>
      <c r="H57" s="13">
        <v>3015</v>
      </c>
      <c r="I57" s="13">
        <v>26671</v>
      </c>
      <c r="J57" s="10">
        <v>79</v>
      </c>
      <c r="K57" s="13">
        <v>35</v>
      </c>
      <c r="L57" s="17">
        <v>24</v>
      </c>
      <c r="M57" s="13">
        <v>0</v>
      </c>
    </row>
    <row r="58" spans="1:13" x14ac:dyDescent="0.25">
      <c r="A58" s="10">
        <v>57</v>
      </c>
      <c r="B58" s="10">
        <v>57</v>
      </c>
      <c r="C58" s="13">
        <v>824935</v>
      </c>
      <c r="D58" s="13">
        <v>824471</v>
      </c>
      <c r="E58" s="9">
        <v>1110.4000000000001</v>
      </c>
      <c r="F58" s="9">
        <v>188.3</v>
      </c>
      <c r="G58" s="11">
        <v>1.4424999999999999</v>
      </c>
      <c r="H58" s="13">
        <v>4327</v>
      </c>
      <c r="I58" s="13">
        <v>26358</v>
      </c>
      <c r="J58" s="10">
        <v>82</v>
      </c>
      <c r="K58" s="13">
        <v>59</v>
      </c>
      <c r="L58" s="17">
        <v>24</v>
      </c>
      <c r="M58" s="13">
        <v>0</v>
      </c>
    </row>
    <row r="59" spans="1:13" x14ac:dyDescent="0.25">
      <c r="A59" s="10">
        <v>58</v>
      </c>
      <c r="B59" s="10">
        <v>58</v>
      </c>
      <c r="C59" s="13">
        <v>827041</v>
      </c>
      <c r="D59" s="13">
        <v>826589</v>
      </c>
      <c r="E59" s="9">
        <v>1110.0999999999999</v>
      </c>
      <c r="F59" s="9">
        <v>187.9</v>
      </c>
      <c r="G59" s="11">
        <v>1.4441999999999999</v>
      </c>
      <c r="H59" s="13">
        <v>3957</v>
      </c>
      <c r="I59" s="13">
        <v>26232</v>
      </c>
      <c r="J59" s="10">
        <v>84</v>
      </c>
      <c r="K59" s="13">
        <v>43</v>
      </c>
      <c r="L59" s="17">
        <v>24</v>
      </c>
      <c r="M59" s="13">
        <v>0</v>
      </c>
    </row>
    <row r="60" spans="1:13" x14ac:dyDescent="0.25">
      <c r="A60" s="10">
        <v>59</v>
      </c>
      <c r="B60" s="10">
        <v>59</v>
      </c>
      <c r="C60" s="13">
        <v>826258</v>
      </c>
      <c r="D60" s="13">
        <v>825779</v>
      </c>
      <c r="E60" s="9">
        <v>1109.5</v>
      </c>
      <c r="F60" s="9">
        <v>188.5</v>
      </c>
      <c r="G60" s="11">
        <v>1.4421999999999999</v>
      </c>
      <c r="H60" s="13">
        <v>3517</v>
      </c>
      <c r="I60" s="13">
        <v>26747</v>
      </c>
      <c r="J60" s="10">
        <v>80</v>
      </c>
      <c r="K60" s="13">
        <v>45</v>
      </c>
      <c r="L60" s="17">
        <v>24</v>
      </c>
      <c r="M60" s="13">
        <v>0</v>
      </c>
    </row>
    <row r="61" spans="1:13" x14ac:dyDescent="0.25">
      <c r="A61" s="10">
        <v>60</v>
      </c>
      <c r="B61" s="10">
        <v>60</v>
      </c>
      <c r="C61" s="13">
        <v>825280</v>
      </c>
      <c r="D61" s="13">
        <v>824866</v>
      </c>
      <c r="E61" s="9">
        <v>1108.4000000000001</v>
      </c>
      <c r="F61" s="9">
        <v>187.1</v>
      </c>
      <c r="G61" s="11">
        <v>1.4416</v>
      </c>
      <c r="H61" s="13">
        <v>2392</v>
      </c>
      <c r="I61" s="13">
        <v>26842</v>
      </c>
      <c r="J61" s="10">
        <v>81</v>
      </c>
      <c r="K61" s="13">
        <v>23</v>
      </c>
      <c r="L61" s="17">
        <v>24</v>
      </c>
      <c r="M61" s="13">
        <v>0</v>
      </c>
    </row>
    <row r="62" spans="1:13" x14ac:dyDescent="0.25">
      <c r="A62" s="10">
        <v>61</v>
      </c>
      <c r="B62" s="10">
        <v>61</v>
      </c>
      <c r="C62" s="13">
        <v>827122</v>
      </c>
      <c r="D62" s="13">
        <v>826723</v>
      </c>
      <c r="E62" s="9">
        <v>1110.4000000000001</v>
      </c>
      <c r="F62" s="9">
        <v>188.2</v>
      </c>
      <c r="G62" s="11">
        <v>1.4426000000000001</v>
      </c>
      <c r="H62" s="13">
        <v>3020</v>
      </c>
      <c r="I62" s="13">
        <v>26494</v>
      </c>
      <c r="J62" s="10">
        <v>82</v>
      </c>
      <c r="K62" s="13">
        <v>28</v>
      </c>
      <c r="L62" s="17">
        <v>24</v>
      </c>
      <c r="M62" s="13">
        <v>0</v>
      </c>
    </row>
    <row r="63" spans="1:13" x14ac:dyDescent="0.25">
      <c r="A63" s="10">
        <v>62</v>
      </c>
      <c r="B63" s="10">
        <v>62</v>
      </c>
      <c r="C63" s="13">
        <v>826077</v>
      </c>
      <c r="D63" s="13">
        <v>825670</v>
      </c>
      <c r="E63" s="9">
        <v>1109</v>
      </c>
      <c r="F63" s="9">
        <v>187.2</v>
      </c>
      <c r="G63" s="11">
        <v>1.4426000000000001</v>
      </c>
      <c r="H63" s="13">
        <v>5852</v>
      </c>
      <c r="I63" s="13">
        <v>26683</v>
      </c>
      <c r="J63" s="10">
        <v>81</v>
      </c>
      <c r="K63" s="13">
        <v>40</v>
      </c>
      <c r="L63" s="17">
        <v>24</v>
      </c>
      <c r="M63" s="13">
        <v>0</v>
      </c>
    </row>
    <row r="64" spans="1:13" x14ac:dyDescent="0.25">
      <c r="A64" s="10">
        <v>63</v>
      </c>
      <c r="B64" s="10">
        <v>63</v>
      </c>
      <c r="C64" s="13">
        <v>827339</v>
      </c>
      <c r="D64" s="13">
        <v>826911</v>
      </c>
      <c r="E64" s="9">
        <v>1113.5</v>
      </c>
      <c r="F64" s="9">
        <v>190.8</v>
      </c>
      <c r="G64" s="11">
        <v>1.4427000000000001</v>
      </c>
      <c r="H64" s="13">
        <v>4111</v>
      </c>
      <c r="I64" s="13">
        <v>27300</v>
      </c>
      <c r="J64" s="10">
        <v>80</v>
      </c>
      <c r="K64" s="13">
        <v>46</v>
      </c>
      <c r="L64" s="17">
        <v>24</v>
      </c>
      <c r="M64" s="13">
        <v>0</v>
      </c>
    </row>
    <row r="65" spans="1:13" x14ac:dyDescent="0.25">
      <c r="A65" s="10">
        <v>64</v>
      </c>
      <c r="B65" s="10">
        <v>64</v>
      </c>
      <c r="C65" s="13">
        <v>825625</v>
      </c>
      <c r="D65" s="13">
        <v>825178</v>
      </c>
      <c r="E65" s="9">
        <v>1107</v>
      </c>
      <c r="F65" s="9">
        <v>184.6</v>
      </c>
      <c r="G65" s="11">
        <v>1.4421999999999999</v>
      </c>
      <c r="H65" s="13">
        <v>1690</v>
      </c>
      <c r="I65" s="13">
        <v>26402</v>
      </c>
      <c r="J65" s="10">
        <v>84</v>
      </c>
      <c r="K65" s="13">
        <v>40</v>
      </c>
      <c r="L65" s="17">
        <v>24</v>
      </c>
      <c r="M65" s="13">
        <v>0</v>
      </c>
    </row>
    <row r="66" spans="1:13" x14ac:dyDescent="0.25">
      <c r="A66" s="10">
        <v>65</v>
      </c>
      <c r="B66" s="10">
        <v>65</v>
      </c>
      <c r="C66" s="13">
        <v>826602</v>
      </c>
      <c r="D66" s="13">
        <v>826229</v>
      </c>
      <c r="E66" s="9">
        <v>1111</v>
      </c>
      <c r="F66" s="9">
        <v>188.9</v>
      </c>
      <c r="G66" s="11">
        <v>1.4429000000000001</v>
      </c>
      <c r="H66" s="13">
        <v>4928</v>
      </c>
      <c r="I66" s="13">
        <v>26956</v>
      </c>
      <c r="J66" s="10">
        <v>80</v>
      </c>
      <c r="K66" s="13">
        <v>43</v>
      </c>
      <c r="L66" s="17">
        <v>24</v>
      </c>
      <c r="M66" s="13">
        <v>0</v>
      </c>
    </row>
    <row r="67" spans="1:13" x14ac:dyDescent="0.25">
      <c r="A67" s="10">
        <v>66</v>
      </c>
      <c r="B67" s="10">
        <v>66</v>
      </c>
      <c r="C67" s="13">
        <v>826860</v>
      </c>
      <c r="D67" s="13">
        <v>826479</v>
      </c>
      <c r="E67" s="9">
        <v>1110.0999999999999</v>
      </c>
      <c r="F67" s="9">
        <v>188.8</v>
      </c>
      <c r="G67" s="11">
        <v>1.4423999999999999</v>
      </c>
      <c r="H67" s="13">
        <v>4579</v>
      </c>
      <c r="I67" s="13">
        <v>26317</v>
      </c>
      <c r="J67" s="10">
        <v>82</v>
      </c>
      <c r="K67" s="13">
        <v>37</v>
      </c>
      <c r="L67" s="17">
        <v>24</v>
      </c>
      <c r="M67" s="13">
        <v>0</v>
      </c>
    </row>
    <row r="68" spans="1:13" x14ac:dyDescent="0.25">
      <c r="A68" s="10">
        <v>67</v>
      </c>
      <c r="B68" s="10">
        <v>67</v>
      </c>
      <c r="C68" s="13">
        <v>826865</v>
      </c>
      <c r="D68" s="13">
        <v>826411</v>
      </c>
      <c r="E68" s="9">
        <v>1109.5</v>
      </c>
      <c r="F68" s="9">
        <v>188.1</v>
      </c>
      <c r="G68" s="11">
        <v>1.4421999999999999</v>
      </c>
      <c r="H68" s="13">
        <v>3670</v>
      </c>
      <c r="I68" s="13">
        <v>26718</v>
      </c>
      <c r="J68" s="10">
        <v>81</v>
      </c>
      <c r="K68" s="13">
        <v>40</v>
      </c>
      <c r="L68" s="17">
        <v>24</v>
      </c>
      <c r="M68" s="13">
        <v>0</v>
      </c>
    </row>
    <row r="69" spans="1:13" x14ac:dyDescent="0.25">
      <c r="A69" s="10">
        <v>68</v>
      </c>
      <c r="B69" s="10">
        <v>68</v>
      </c>
      <c r="C69" s="13">
        <v>825422</v>
      </c>
      <c r="D69" s="13">
        <v>825021</v>
      </c>
      <c r="E69" s="9">
        <v>1111.5</v>
      </c>
      <c r="F69" s="9">
        <v>189.6</v>
      </c>
      <c r="G69" s="11">
        <v>1.4433</v>
      </c>
      <c r="H69" s="13">
        <v>4883</v>
      </c>
      <c r="I69" s="13">
        <v>26774</v>
      </c>
      <c r="J69" s="10">
        <v>83</v>
      </c>
      <c r="K69" s="13">
        <v>44</v>
      </c>
      <c r="L69" s="17">
        <v>24</v>
      </c>
      <c r="M69" s="13">
        <v>0</v>
      </c>
    </row>
    <row r="70" spans="1:13" x14ac:dyDescent="0.25">
      <c r="A70" s="10">
        <v>69</v>
      </c>
      <c r="B70" s="10">
        <v>69</v>
      </c>
      <c r="C70" s="13">
        <v>827200</v>
      </c>
      <c r="D70" s="13">
        <v>826715</v>
      </c>
      <c r="E70" s="9">
        <v>1113.0999999999999</v>
      </c>
      <c r="F70" s="9">
        <v>190</v>
      </c>
      <c r="G70" s="11">
        <v>1.4439</v>
      </c>
      <c r="H70" s="13">
        <v>7158</v>
      </c>
      <c r="I70" s="13">
        <v>27742</v>
      </c>
      <c r="J70" s="10">
        <v>82</v>
      </c>
      <c r="K70" s="13">
        <v>26</v>
      </c>
      <c r="L70" s="17">
        <v>24</v>
      </c>
      <c r="M70" s="13">
        <v>0</v>
      </c>
    </row>
    <row r="71" spans="1:13" x14ac:dyDescent="0.25">
      <c r="A71" s="10">
        <v>70</v>
      </c>
      <c r="B71" s="10">
        <v>70</v>
      </c>
      <c r="C71" s="13">
        <v>827241</v>
      </c>
      <c r="D71" s="13">
        <v>826801</v>
      </c>
      <c r="E71" s="9">
        <v>1107</v>
      </c>
      <c r="F71" s="9">
        <v>185.2</v>
      </c>
      <c r="G71" s="11">
        <v>1.4422999999999999</v>
      </c>
      <c r="H71" s="13">
        <v>2730</v>
      </c>
      <c r="I71" s="13">
        <v>26678</v>
      </c>
      <c r="J71" s="10">
        <v>82</v>
      </c>
      <c r="K71" s="13">
        <v>52</v>
      </c>
      <c r="L71" s="17">
        <v>24</v>
      </c>
      <c r="M71" s="13">
        <v>0</v>
      </c>
    </row>
    <row r="72" spans="1:13" x14ac:dyDescent="0.25">
      <c r="A72" s="10">
        <v>71</v>
      </c>
      <c r="B72" s="10">
        <v>71</v>
      </c>
      <c r="C72" s="13">
        <v>827421</v>
      </c>
      <c r="D72" s="13">
        <v>826969</v>
      </c>
      <c r="E72" s="9">
        <v>1110.5</v>
      </c>
      <c r="F72" s="9">
        <v>188.7</v>
      </c>
      <c r="G72" s="11">
        <v>1.4421999999999999</v>
      </c>
      <c r="H72" s="13">
        <v>4349</v>
      </c>
      <c r="I72" s="13">
        <v>26305</v>
      </c>
      <c r="J72" s="10">
        <v>81</v>
      </c>
      <c r="K72" s="13">
        <v>49</v>
      </c>
      <c r="L72" s="17">
        <v>24</v>
      </c>
      <c r="M72" s="13">
        <v>0</v>
      </c>
    </row>
    <row r="73" spans="1:13" x14ac:dyDescent="0.25">
      <c r="A73" s="10">
        <v>72</v>
      </c>
      <c r="B73" s="10">
        <v>72</v>
      </c>
      <c r="C73" s="13">
        <v>825745</v>
      </c>
      <c r="D73" s="13">
        <v>825343</v>
      </c>
      <c r="E73" s="9">
        <v>1114.0999999999999</v>
      </c>
      <c r="F73" s="9">
        <v>191.2</v>
      </c>
      <c r="G73" s="11">
        <v>1.4433</v>
      </c>
      <c r="H73" s="13">
        <v>9513</v>
      </c>
      <c r="I73" s="13">
        <v>26564</v>
      </c>
      <c r="J73" s="10">
        <v>80</v>
      </c>
      <c r="K73" s="13">
        <v>36</v>
      </c>
      <c r="L73" s="17">
        <v>24</v>
      </c>
      <c r="M73" s="13">
        <v>0</v>
      </c>
    </row>
    <row r="74" spans="1:13" x14ac:dyDescent="0.25">
      <c r="A74" s="10">
        <v>73</v>
      </c>
      <c r="B74" s="10">
        <v>73</v>
      </c>
      <c r="C74" s="13">
        <v>826144</v>
      </c>
      <c r="D74" s="13">
        <v>825682</v>
      </c>
      <c r="E74" s="9">
        <v>1111.9000000000001</v>
      </c>
      <c r="F74" s="9">
        <v>190.3</v>
      </c>
      <c r="G74" s="11">
        <v>1.4431</v>
      </c>
      <c r="H74" s="13">
        <v>4694</v>
      </c>
      <c r="I74" s="13">
        <v>26674</v>
      </c>
      <c r="J74" s="10">
        <v>82</v>
      </c>
      <c r="K74" s="13">
        <v>48</v>
      </c>
      <c r="L74" s="17">
        <v>24</v>
      </c>
      <c r="M74" s="13">
        <v>0</v>
      </c>
    </row>
    <row r="75" spans="1:13" x14ac:dyDescent="0.25">
      <c r="A75" s="10">
        <v>74</v>
      </c>
      <c r="B75" s="10">
        <v>74</v>
      </c>
      <c r="C75" s="13">
        <v>825340</v>
      </c>
      <c r="D75" s="13">
        <v>824920</v>
      </c>
      <c r="E75" s="9">
        <v>1113.5</v>
      </c>
      <c r="F75" s="9">
        <v>190.8</v>
      </c>
      <c r="G75" s="11">
        <v>1.4423999999999999</v>
      </c>
      <c r="H75" s="13">
        <v>5610</v>
      </c>
      <c r="I75" s="13">
        <v>26655</v>
      </c>
      <c r="J75" s="10">
        <v>81</v>
      </c>
      <c r="K75" s="13">
        <v>29</v>
      </c>
      <c r="L75" s="17">
        <v>24</v>
      </c>
      <c r="M75" s="13">
        <v>0</v>
      </c>
    </row>
    <row r="76" spans="1:13" x14ac:dyDescent="0.25">
      <c r="A76" s="10">
        <v>75</v>
      </c>
      <c r="B76" s="10">
        <v>75</v>
      </c>
      <c r="C76" s="13">
        <v>825746</v>
      </c>
      <c r="D76" s="13">
        <v>825352</v>
      </c>
      <c r="E76" s="9">
        <v>1111</v>
      </c>
      <c r="F76" s="9">
        <v>188.7</v>
      </c>
      <c r="G76" s="11">
        <v>1.4428000000000001</v>
      </c>
      <c r="H76" s="13">
        <v>3082</v>
      </c>
      <c r="I76" s="13">
        <v>27267</v>
      </c>
      <c r="J76" s="10">
        <v>82</v>
      </c>
      <c r="K76" s="13">
        <v>44</v>
      </c>
      <c r="L76" s="17">
        <v>24</v>
      </c>
      <c r="M76" s="13">
        <v>0</v>
      </c>
    </row>
    <row r="77" spans="1:13" x14ac:dyDescent="0.25">
      <c r="A77" s="10">
        <v>76</v>
      </c>
      <c r="B77" s="10">
        <v>76</v>
      </c>
      <c r="C77" s="13">
        <v>824736</v>
      </c>
      <c r="D77" s="13">
        <v>824297</v>
      </c>
      <c r="E77" s="9">
        <v>1110.2</v>
      </c>
      <c r="F77" s="9">
        <v>187.9</v>
      </c>
      <c r="G77" s="11">
        <v>1.4424999999999999</v>
      </c>
      <c r="H77" s="13">
        <v>6151</v>
      </c>
      <c r="I77" s="13">
        <v>26747</v>
      </c>
      <c r="J77" s="10">
        <v>83</v>
      </c>
      <c r="K77" s="13">
        <v>49</v>
      </c>
      <c r="L77" s="17">
        <v>24</v>
      </c>
      <c r="M77" s="13">
        <v>0</v>
      </c>
    </row>
    <row r="78" spans="1:13" x14ac:dyDescent="0.25">
      <c r="A78" s="10">
        <v>77</v>
      </c>
      <c r="B78" s="10">
        <v>77</v>
      </c>
      <c r="C78" s="13">
        <v>826102</v>
      </c>
      <c r="D78" s="13">
        <v>825714</v>
      </c>
      <c r="E78" s="9">
        <v>1113.3</v>
      </c>
      <c r="F78" s="9">
        <v>191.5</v>
      </c>
      <c r="G78" s="11">
        <v>1.4421999999999999</v>
      </c>
      <c r="H78" s="13">
        <v>8230</v>
      </c>
      <c r="I78" s="13">
        <v>26774</v>
      </c>
      <c r="J78" s="10">
        <v>83</v>
      </c>
      <c r="K78" s="13">
        <v>48</v>
      </c>
      <c r="L78" s="17">
        <v>24</v>
      </c>
      <c r="M78" s="13">
        <v>0</v>
      </c>
    </row>
    <row r="79" spans="1:13" x14ac:dyDescent="0.25">
      <c r="A79" s="10">
        <v>78</v>
      </c>
      <c r="B79" s="10">
        <v>78</v>
      </c>
      <c r="C79" s="13">
        <v>828859</v>
      </c>
      <c r="D79" s="13">
        <v>828505</v>
      </c>
      <c r="E79" s="9">
        <v>1114.7</v>
      </c>
      <c r="F79" s="9">
        <v>191.9</v>
      </c>
      <c r="G79" s="11">
        <v>1.4430000000000001</v>
      </c>
      <c r="H79" s="13">
        <v>7325</v>
      </c>
      <c r="I79" s="13">
        <v>26973</v>
      </c>
      <c r="J79" s="10">
        <v>82</v>
      </c>
      <c r="K79" s="13">
        <v>24</v>
      </c>
      <c r="L79" s="17">
        <v>24</v>
      </c>
      <c r="M79" s="13">
        <v>0</v>
      </c>
    </row>
    <row r="80" spans="1:13" x14ac:dyDescent="0.25">
      <c r="A80" s="10">
        <v>79</v>
      </c>
      <c r="B80" s="10">
        <v>79</v>
      </c>
      <c r="C80" s="13">
        <v>828169</v>
      </c>
      <c r="D80" s="13">
        <v>827753</v>
      </c>
      <c r="E80" s="9">
        <v>1109.7</v>
      </c>
      <c r="F80" s="9">
        <v>186.5</v>
      </c>
      <c r="G80" s="11">
        <v>1.4427000000000001</v>
      </c>
      <c r="H80" s="13">
        <v>4192</v>
      </c>
      <c r="I80" s="13">
        <v>26497</v>
      </c>
      <c r="J80" s="10">
        <v>82</v>
      </c>
      <c r="K80" s="13">
        <v>42</v>
      </c>
      <c r="L80" s="17">
        <v>24</v>
      </c>
      <c r="M80" s="13">
        <v>0</v>
      </c>
    </row>
    <row r="81" spans="1:13" x14ac:dyDescent="0.25">
      <c r="A81" s="10">
        <v>80</v>
      </c>
      <c r="B81" s="10">
        <v>80</v>
      </c>
      <c r="C81" s="13">
        <v>827070</v>
      </c>
      <c r="D81" s="13">
        <v>826657</v>
      </c>
      <c r="E81" s="9">
        <v>1108</v>
      </c>
      <c r="F81" s="9">
        <v>185.4</v>
      </c>
      <c r="G81" s="11">
        <v>1.4422999999999999</v>
      </c>
      <c r="H81" s="13">
        <v>1471</v>
      </c>
      <c r="I81" s="13">
        <v>26666</v>
      </c>
      <c r="J81" s="10">
        <v>79</v>
      </c>
      <c r="K81" s="13">
        <v>45</v>
      </c>
      <c r="L81" s="17">
        <v>24</v>
      </c>
      <c r="M81" s="13">
        <v>0</v>
      </c>
    </row>
    <row r="82" spans="1:13" x14ac:dyDescent="0.25">
      <c r="A82" s="10">
        <v>81</v>
      </c>
      <c r="B82" s="10">
        <v>81</v>
      </c>
      <c r="C82" s="13">
        <v>827370</v>
      </c>
      <c r="D82" s="13">
        <v>826894</v>
      </c>
      <c r="E82" s="9">
        <v>1110.2</v>
      </c>
      <c r="F82" s="9">
        <v>187.3</v>
      </c>
      <c r="G82" s="11">
        <v>1.4432</v>
      </c>
      <c r="H82" s="13">
        <v>3352</v>
      </c>
      <c r="I82" s="13">
        <v>26276</v>
      </c>
      <c r="J82" s="10">
        <v>81</v>
      </c>
      <c r="K82" s="13">
        <v>56</v>
      </c>
      <c r="L82" s="17">
        <v>24</v>
      </c>
      <c r="M82" s="13">
        <v>0</v>
      </c>
    </row>
    <row r="83" spans="1:13" x14ac:dyDescent="0.25">
      <c r="A83" s="10">
        <v>82</v>
      </c>
      <c r="B83" s="10">
        <v>82</v>
      </c>
      <c r="C83" s="13">
        <v>827741</v>
      </c>
      <c r="D83" s="13">
        <v>827275</v>
      </c>
      <c r="E83" s="9">
        <v>1110.3</v>
      </c>
      <c r="F83" s="9">
        <v>187.7</v>
      </c>
      <c r="G83" s="11">
        <v>1.4428000000000001</v>
      </c>
      <c r="H83" s="13">
        <v>3496</v>
      </c>
      <c r="I83" s="13">
        <v>26456</v>
      </c>
      <c r="J83" s="10">
        <v>81</v>
      </c>
      <c r="K83" s="13">
        <v>45</v>
      </c>
      <c r="L83" s="17">
        <v>24</v>
      </c>
      <c r="M83" s="13">
        <v>0</v>
      </c>
    </row>
    <row r="84" spans="1:13" x14ac:dyDescent="0.25">
      <c r="A84" s="10">
        <v>83</v>
      </c>
      <c r="B84" s="10">
        <v>83</v>
      </c>
      <c r="C84" s="13">
        <v>828480</v>
      </c>
      <c r="D84" s="13">
        <v>828064</v>
      </c>
      <c r="E84" s="9">
        <v>1110.0999999999999</v>
      </c>
      <c r="F84" s="9">
        <v>188.2</v>
      </c>
      <c r="G84" s="11">
        <v>1.4435</v>
      </c>
      <c r="H84" s="13">
        <v>2618</v>
      </c>
      <c r="I84" s="13">
        <v>26721</v>
      </c>
      <c r="J84" s="10">
        <v>80</v>
      </c>
      <c r="K84" s="13">
        <v>37</v>
      </c>
      <c r="L84" s="17">
        <v>24</v>
      </c>
      <c r="M84" s="13">
        <v>0</v>
      </c>
    </row>
    <row r="85" spans="1:13" x14ac:dyDescent="0.25">
      <c r="A85" s="10">
        <v>84</v>
      </c>
      <c r="B85" s="10">
        <v>84</v>
      </c>
      <c r="C85" s="13">
        <v>828032</v>
      </c>
      <c r="D85" s="13">
        <v>827542</v>
      </c>
      <c r="E85" s="9">
        <v>1108.2</v>
      </c>
      <c r="F85" s="9">
        <v>185.8</v>
      </c>
      <c r="G85" s="11">
        <v>1.4424999999999999</v>
      </c>
      <c r="H85" s="13">
        <v>1823</v>
      </c>
      <c r="I85" s="13">
        <v>27074</v>
      </c>
      <c r="J85" s="10">
        <v>82</v>
      </c>
      <c r="K85" s="13">
        <v>33</v>
      </c>
      <c r="L85" s="17">
        <v>24</v>
      </c>
      <c r="M85" s="13">
        <v>0</v>
      </c>
    </row>
    <row r="86" spans="1:13" x14ac:dyDescent="0.25">
      <c r="A86" s="10">
        <v>85</v>
      </c>
      <c r="B86" s="10">
        <v>85</v>
      </c>
      <c r="C86" s="13">
        <v>828010</v>
      </c>
      <c r="D86" s="13">
        <v>827637</v>
      </c>
      <c r="E86" s="9">
        <v>1111.3</v>
      </c>
      <c r="F86" s="9">
        <v>189.2</v>
      </c>
      <c r="G86" s="11">
        <v>1.4428000000000001</v>
      </c>
      <c r="H86" s="13">
        <v>8751</v>
      </c>
      <c r="I86" s="13">
        <v>28128</v>
      </c>
      <c r="J86" s="10">
        <v>79</v>
      </c>
      <c r="K86" s="13">
        <v>26</v>
      </c>
      <c r="L86" s="17">
        <v>24</v>
      </c>
      <c r="M86" s="13">
        <v>0</v>
      </c>
    </row>
    <row r="87" spans="1:13" x14ac:dyDescent="0.25">
      <c r="A87" s="10">
        <v>86</v>
      </c>
      <c r="B87" s="10">
        <v>86</v>
      </c>
      <c r="C87" s="13">
        <v>828108</v>
      </c>
      <c r="D87" s="13">
        <v>827671</v>
      </c>
      <c r="E87" s="9">
        <v>1111</v>
      </c>
      <c r="F87" s="9">
        <v>188.3</v>
      </c>
      <c r="G87" s="11">
        <v>1.4428000000000001</v>
      </c>
      <c r="H87" s="13">
        <v>3832</v>
      </c>
      <c r="I87" s="13">
        <v>27020</v>
      </c>
      <c r="J87" s="10">
        <v>81</v>
      </c>
      <c r="K87" s="13">
        <v>43</v>
      </c>
      <c r="L87" s="17">
        <v>24</v>
      </c>
      <c r="M87" s="13">
        <v>0</v>
      </c>
    </row>
    <row r="88" spans="1:13" x14ac:dyDescent="0.25">
      <c r="A88" s="10">
        <v>87</v>
      </c>
      <c r="B88" s="10">
        <v>87</v>
      </c>
      <c r="C88" s="13">
        <v>826443</v>
      </c>
      <c r="D88" s="13">
        <v>826015</v>
      </c>
      <c r="E88" s="9">
        <v>1110.4000000000001</v>
      </c>
      <c r="F88" s="9">
        <v>188.3</v>
      </c>
      <c r="G88" s="11">
        <v>1.4427000000000001</v>
      </c>
      <c r="H88" s="13">
        <v>4377</v>
      </c>
      <c r="I88" s="13">
        <v>26729</v>
      </c>
      <c r="J88" s="10">
        <v>82</v>
      </c>
      <c r="K88" s="13">
        <v>62</v>
      </c>
      <c r="L88" s="17">
        <v>24</v>
      </c>
      <c r="M88" s="13">
        <v>0</v>
      </c>
    </row>
    <row r="89" spans="1:13" x14ac:dyDescent="0.25">
      <c r="A89" s="10">
        <v>88</v>
      </c>
      <c r="B89" s="10">
        <v>88</v>
      </c>
      <c r="C89" s="13">
        <v>828094</v>
      </c>
      <c r="D89" s="13">
        <v>827673</v>
      </c>
      <c r="E89" s="9">
        <v>1111</v>
      </c>
      <c r="F89" s="9">
        <v>189.4</v>
      </c>
      <c r="G89" s="11">
        <v>1.4419</v>
      </c>
      <c r="H89" s="13">
        <v>2373</v>
      </c>
      <c r="I89" s="13">
        <v>26658</v>
      </c>
      <c r="J89" s="10">
        <v>81</v>
      </c>
      <c r="K89" s="13">
        <v>39</v>
      </c>
      <c r="L89" s="17">
        <v>24</v>
      </c>
      <c r="M89" s="13">
        <v>0</v>
      </c>
    </row>
    <row r="90" spans="1:13" x14ac:dyDescent="0.25">
      <c r="A90" s="10">
        <v>89</v>
      </c>
      <c r="B90" s="10">
        <v>89</v>
      </c>
      <c r="C90" s="13">
        <v>827522</v>
      </c>
      <c r="D90" s="13">
        <v>827035</v>
      </c>
      <c r="E90" s="9">
        <v>1111.8</v>
      </c>
      <c r="F90" s="9">
        <v>188.7</v>
      </c>
      <c r="G90" s="11">
        <v>1.4428000000000001</v>
      </c>
      <c r="H90" s="13">
        <v>1463</v>
      </c>
      <c r="I90" s="13">
        <v>26397</v>
      </c>
      <c r="J90" s="10">
        <v>83</v>
      </c>
      <c r="K90" s="13">
        <v>38</v>
      </c>
      <c r="L90" s="17">
        <v>24</v>
      </c>
      <c r="M90" s="13">
        <v>0</v>
      </c>
    </row>
    <row r="91" spans="1:13" x14ac:dyDescent="0.25">
      <c r="A91" s="10">
        <v>90</v>
      </c>
      <c r="B91" s="10">
        <v>90</v>
      </c>
      <c r="C91" s="13">
        <v>828164</v>
      </c>
      <c r="D91" s="13">
        <v>827786</v>
      </c>
      <c r="E91" s="9">
        <v>1108.8</v>
      </c>
      <c r="F91" s="9">
        <v>187.9</v>
      </c>
      <c r="G91" s="11">
        <v>1.4422999999999999</v>
      </c>
      <c r="H91" s="13">
        <v>5138</v>
      </c>
      <c r="I91" s="13">
        <v>27142</v>
      </c>
      <c r="J91" s="10">
        <v>82</v>
      </c>
      <c r="K91" s="13">
        <v>31</v>
      </c>
      <c r="L91" s="17">
        <v>24</v>
      </c>
      <c r="M91" s="13">
        <v>0</v>
      </c>
    </row>
    <row r="92" spans="1:13" x14ac:dyDescent="0.25">
      <c r="A92" s="10">
        <v>91</v>
      </c>
      <c r="B92" s="10">
        <v>91</v>
      </c>
      <c r="C92" s="13">
        <v>826785</v>
      </c>
      <c r="D92" s="13">
        <v>826330</v>
      </c>
      <c r="E92" s="9">
        <v>1109.8</v>
      </c>
      <c r="F92" s="9">
        <v>187.4</v>
      </c>
      <c r="G92" s="11">
        <v>1.4429000000000001</v>
      </c>
      <c r="H92" s="13">
        <v>4839</v>
      </c>
      <c r="I92" s="13">
        <v>26560</v>
      </c>
      <c r="J92" s="10">
        <v>82</v>
      </c>
      <c r="K92" s="13">
        <v>27</v>
      </c>
      <c r="L92" s="17">
        <v>24</v>
      </c>
      <c r="M92" s="13">
        <v>0</v>
      </c>
    </row>
    <row r="93" spans="1:13" x14ac:dyDescent="0.25">
      <c r="A93" s="10">
        <v>92</v>
      </c>
      <c r="B93" s="10">
        <v>92</v>
      </c>
      <c r="C93" s="13">
        <v>826713</v>
      </c>
      <c r="D93" s="13">
        <v>826287</v>
      </c>
      <c r="E93" s="9">
        <v>1109.5999999999999</v>
      </c>
      <c r="F93" s="9">
        <v>187.5</v>
      </c>
      <c r="G93" s="11">
        <v>1.4427000000000001</v>
      </c>
      <c r="H93" s="13">
        <v>6066</v>
      </c>
      <c r="I93" s="13">
        <v>26806</v>
      </c>
      <c r="J93" s="10">
        <v>83</v>
      </c>
      <c r="K93" s="13">
        <v>47</v>
      </c>
      <c r="L93" s="17">
        <v>24</v>
      </c>
      <c r="M93" s="13">
        <v>0</v>
      </c>
    </row>
    <row r="94" spans="1:13" x14ac:dyDescent="0.25">
      <c r="A94" s="10">
        <v>93</v>
      </c>
      <c r="B94" s="10">
        <v>93</v>
      </c>
      <c r="C94" s="13">
        <v>828900</v>
      </c>
      <c r="D94" s="13">
        <v>828460</v>
      </c>
      <c r="E94" s="9">
        <v>1108.9000000000001</v>
      </c>
      <c r="F94" s="9">
        <v>186.9</v>
      </c>
      <c r="G94" s="11">
        <v>1.4423999999999999</v>
      </c>
      <c r="H94" s="13">
        <v>2636</v>
      </c>
      <c r="I94" s="13">
        <v>26361</v>
      </c>
      <c r="J94" s="10">
        <v>80</v>
      </c>
      <c r="K94" s="13">
        <v>40</v>
      </c>
      <c r="L94" s="17">
        <v>24</v>
      </c>
      <c r="M94" s="13">
        <v>0</v>
      </c>
    </row>
    <row r="95" spans="1:13" x14ac:dyDescent="0.25">
      <c r="A95" s="10">
        <v>94</v>
      </c>
      <c r="B95" s="10">
        <v>94</v>
      </c>
      <c r="C95" s="13">
        <v>827406</v>
      </c>
      <c r="D95" s="13">
        <v>826966</v>
      </c>
      <c r="E95" s="9">
        <v>1111.9000000000001</v>
      </c>
      <c r="F95" s="9">
        <v>189.7</v>
      </c>
      <c r="G95" s="11">
        <v>1.4426000000000001</v>
      </c>
      <c r="H95" s="13">
        <v>5901</v>
      </c>
      <c r="I95" s="13">
        <v>27514</v>
      </c>
      <c r="J95" s="10">
        <v>83</v>
      </c>
      <c r="K95" s="13">
        <v>46</v>
      </c>
      <c r="L95" s="17">
        <v>24</v>
      </c>
      <c r="M95" s="13">
        <v>0</v>
      </c>
    </row>
    <row r="96" spans="1:13" x14ac:dyDescent="0.25">
      <c r="A96" s="10">
        <v>95</v>
      </c>
      <c r="B96" s="10">
        <v>95</v>
      </c>
      <c r="C96" s="13">
        <v>827802</v>
      </c>
      <c r="D96" s="13">
        <v>827378</v>
      </c>
      <c r="E96" s="9">
        <v>1114.5</v>
      </c>
      <c r="F96" s="9">
        <v>192.1</v>
      </c>
      <c r="G96" s="11">
        <v>1.4423999999999999</v>
      </c>
      <c r="H96" s="13">
        <v>3894</v>
      </c>
      <c r="I96" s="13">
        <v>26422</v>
      </c>
      <c r="J96" s="10">
        <v>80</v>
      </c>
      <c r="K96" s="13">
        <v>41</v>
      </c>
      <c r="L96" s="17">
        <v>24</v>
      </c>
      <c r="M96" s="13">
        <v>0</v>
      </c>
    </row>
    <row r="97" spans="1:13" x14ac:dyDescent="0.25">
      <c r="A97" s="10">
        <v>96</v>
      </c>
      <c r="B97" s="10">
        <v>96</v>
      </c>
      <c r="C97" s="13">
        <v>826641</v>
      </c>
      <c r="D97" s="13">
        <v>826270</v>
      </c>
      <c r="E97" s="9">
        <v>1107.5</v>
      </c>
      <c r="F97" s="9">
        <v>185.6</v>
      </c>
      <c r="G97" s="11">
        <v>1.4421999999999999</v>
      </c>
      <c r="H97" s="13">
        <v>4665</v>
      </c>
      <c r="I97" s="13">
        <v>25977</v>
      </c>
      <c r="J97" s="10">
        <v>83</v>
      </c>
      <c r="K97" s="13">
        <v>45</v>
      </c>
      <c r="L97" s="17">
        <v>24</v>
      </c>
      <c r="M97" s="13">
        <v>0</v>
      </c>
    </row>
    <row r="98" spans="1:13" x14ac:dyDescent="0.25">
      <c r="A98" s="10">
        <v>97</v>
      </c>
      <c r="B98" s="10">
        <v>97</v>
      </c>
      <c r="C98" s="13">
        <v>826413</v>
      </c>
      <c r="D98" s="13">
        <v>825956</v>
      </c>
      <c r="E98" s="9">
        <v>1112.2</v>
      </c>
      <c r="F98" s="9">
        <v>189.4</v>
      </c>
      <c r="G98" s="11">
        <v>1.4434</v>
      </c>
      <c r="H98" s="13">
        <v>2901</v>
      </c>
      <c r="I98" s="13">
        <v>27111</v>
      </c>
      <c r="J98" s="10">
        <v>80</v>
      </c>
      <c r="K98" s="13">
        <v>56</v>
      </c>
      <c r="L98" s="17">
        <v>24</v>
      </c>
      <c r="M98" s="13">
        <v>0</v>
      </c>
    </row>
    <row r="99" spans="1:13" x14ac:dyDescent="0.25">
      <c r="A99" s="10">
        <v>98</v>
      </c>
      <c r="B99" s="10">
        <v>98</v>
      </c>
      <c r="C99" s="13">
        <v>827494</v>
      </c>
      <c r="D99" s="13">
        <v>827076</v>
      </c>
      <c r="E99" s="9">
        <v>1113</v>
      </c>
      <c r="F99" s="9">
        <v>190.4</v>
      </c>
      <c r="G99" s="11">
        <v>1.4434</v>
      </c>
      <c r="H99" s="13">
        <v>3590</v>
      </c>
      <c r="I99" s="13">
        <v>26928</v>
      </c>
      <c r="J99" s="10">
        <v>80</v>
      </c>
      <c r="K99" s="13">
        <v>35</v>
      </c>
      <c r="L99" s="17">
        <v>24</v>
      </c>
      <c r="M99" s="13">
        <v>0</v>
      </c>
    </row>
    <row r="100" spans="1:13" x14ac:dyDescent="0.25">
      <c r="A100" s="10">
        <v>99</v>
      </c>
      <c r="B100" s="10">
        <v>99</v>
      </c>
      <c r="C100" s="13">
        <v>826443</v>
      </c>
      <c r="D100" s="13">
        <v>826007</v>
      </c>
      <c r="E100" s="9">
        <v>1108.5</v>
      </c>
      <c r="F100" s="9">
        <v>185.7</v>
      </c>
      <c r="G100" s="11">
        <v>1.4427000000000001</v>
      </c>
      <c r="H100" s="13">
        <v>2975</v>
      </c>
      <c r="I100" s="13">
        <v>26438</v>
      </c>
      <c r="J100" s="10">
        <v>80</v>
      </c>
      <c r="K100" s="13">
        <v>41</v>
      </c>
      <c r="L100" s="17">
        <v>24</v>
      </c>
      <c r="M100" s="13">
        <v>0</v>
      </c>
    </row>
    <row r="101" spans="1:13" x14ac:dyDescent="0.25">
      <c r="A101" s="10">
        <v>100</v>
      </c>
      <c r="B101" s="10">
        <v>100</v>
      </c>
      <c r="C101" s="13">
        <v>827417</v>
      </c>
      <c r="D101" s="13">
        <v>826955</v>
      </c>
      <c r="E101" s="9">
        <v>1110</v>
      </c>
      <c r="F101" s="9">
        <v>187.7</v>
      </c>
      <c r="G101" s="11">
        <v>1.4431</v>
      </c>
      <c r="H101" s="13">
        <v>1432</v>
      </c>
      <c r="I101" s="13">
        <v>26818</v>
      </c>
      <c r="J101" s="10">
        <v>82</v>
      </c>
      <c r="K101" s="13">
        <v>35</v>
      </c>
      <c r="L101" s="17">
        <v>24</v>
      </c>
      <c r="M101" s="13">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1"/>
  <sheetViews>
    <sheetView workbookViewId="0">
      <pane ySplit="1" topLeftCell="A2" activePane="bottomLeft" state="frozen"/>
      <selection pane="bottomLeft"/>
    </sheetView>
  </sheetViews>
  <sheetFormatPr baseColWidth="10" defaultColWidth="9.140625" defaultRowHeight="15" x14ac:dyDescent="0.25"/>
  <cols>
    <col min="1" max="13" width="15" customWidth="1"/>
  </cols>
  <sheetData>
    <row r="1" spans="1:13" ht="45" customHeight="1" x14ac:dyDescent="0.25">
      <c r="A1" s="7" t="s">
        <v>5</v>
      </c>
      <c r="B1" s="7" t="s">
        <v>159</v>
      </c>
      <c r="C1" s="7" t="s">
        <v>160</v>
      </c>
      <c r="D1" s="7" t="s">
        <v>161</v>
      </c>
      <c r="E1" s="7" t="s">
        <v>31</v>
      </c>
      <c r="F1" s="7" t="s">
        <v>48</v>
      </c>
      <c r="G1" s="7" t="s">
        <v>162</v>
      </c>
      <c r="H1" s="7" t="s">
        <v>163</v>
      </c>
      <c r="I1" s="7" t="s">
        <v>164</v>
      </c>
      <c r="J1" s="7" t="s">
        <v>165</v>
      </c>
      <c r="K1" s="7" t="s">
        <v>166</v>
      </c>
      <c r="L1" s="7" t="s">
        <v>167</v>
      </c>
      <c r="M1" s="7" t="s">
        <v>168</v>
      </c>
    </row>
    <row r="2" spans="1:13" x14ac:dyDescent="0.25">
      <c r="A2" s="10">
        <v>1</v>
      </c>
      <c r="B2" s="10">
        <v>1</v>
      </c>
      <c r="C2" s="13">
        <v>912926</v>
      </c>
      <c r="D2" s="13">
        <v>912300</v>
      </c>
      <c r="E2" s="9">
        <v>1065.5999999999999</v>
      </c>
      <c r="F2" s="9">
        <v>176</v>
      </c>
      <c r="G2" s="11">
        <v>1.4658</v>
      </c>
      <c r="H2" s="13">
        <v>4524</v>
      </c>
      <c r="I2" s="13">
        <v>28302</v>
      </c>
      <c r="J2" s="10">
        <v>106</v>
      </c>
      <c r="K2" s="13">
        <v>51</v>
      </c>
      <c r="L2" s="17">
        <v>25.59</v>
      </c>
      <c r="M2" s="13">
        <v>0</v>
      </c>
    </row>
    <row r="3" spans="1:13" x14ac:dyDescent="0.25">
      <c r="A3" s="10">
        <v>2</v>
      </c>
      <c r="B3" s="10">
        <v>2</v>
      </c>
      <c r="C3" s="13">
        <v>911108</v>
      </c>
      <c r="D3" s="13">
        <v>910493</v>
      </c>
      <c r="E3" s="9">
        <v>1063.2</v>
      </c>
      <c r="F3" s="9">
        <v>173.8</v>
      </c>
      <c r="G3" s="11">
        <v>1.4656</v>
      </c>
      <c r="H3" s="13">
        <v>1774</v>
      </c>
      <c r="I3" s="13">
        <v>27972</v>
      </c>
      <c r="J3" s="10">
        <v>105</v>
      </c>
      <c r="K3" s="13">
        <v>34</v>
      </c>
      <c r="L3" s="17">
        <v>25.59</v>
      </c>
      <c r="M3" s="13">
        <v>0</v>
      </c>
    </row>
    <row r="4" spans="1:13" x14ac:dyDescent="0.25">
      <c r="A4" s="10">
        <v>3</v>
      </c>
      <c r="B4" s="10">
        <v>3</v>
      </c>
      <c r="C4" s="13">
        <v>911249</v>
      </c>
      <c r="D4" s="13">
        <v>910715</v>
      </c>
      <c r="E4" s="9">
        <v>1070.0999999999999</v>
      </c>
      <c r="F4" s="9">
        <v>180.1</v>
      </c>
      <c r="G4" s="11">
        <v>1.4662999999999999</v>
      </c>
      <c r="H4" s="13">
        <v>11710</v>
      </c>
      <c r="I4" s="13">
        <v>28253</v>
      </c>
      <c r="J4" s="10">
        <v>106</v>
      </c>
      <c r="K4" s="13">
        <v>33</v>
      </c>
      <c r="L4" s="17">
        <v>25.6</v>
      </c>
      <c r="M4" s="13">
        <v>0</v>
      </c>
    </row>
    <row r="5" spans="1:13" x14ac:dyDescent="0.25">
      <c r="A5" s="10">
        <v>4</v>
      </c>
      <c r="B5" s="10">
        <v>4</v>
      </c>
      <c r="C5" s="13">
        <v>911876</v>
      </c>
      <c r="D5" s="13">
        <v>911273</v>
      </c>
      <c r="E5" s="9">
        <v>1064.7</v>
      </c>
      <c r="F5" s="9">
        <v>175.5</v>
      </c>
      <c r="G5" s="11">
        <v>1.4657</v>
      </c>
      <c r="H5" s="13">
        <v>4227</v>
      </c>
      <c r="I5" s="13">
        <v>28177</v>
      </c>
      <c r="J5" s="10">
        <v>105</v>
      </c>
      <c r="K5" s="13">
        <v>43</v>
      </c>
      <c r="L5" s="17">
        <v>25.59</v>
      </c>
      <c r="M5" s="13">
        <v>0</v>
      </c>
    </row>
    <row r="6" spans="1:13" x14ac:dyDescent="0.25">
      <c r="A6" s="10">
        <v>5</v>
      </c>
      <c r="B6" s="10">
        <v>5</v>
      </c>
      <c r="C6" s="13">
        <v>911644</v>
      </c>
      <c r="D6" s="13">
        <v>911088</v>
      </c>
      <c r="E6" s="9">
        <v>1062.8</v>
      </c>
      <c r="F6" s="9">
        <v>174.4</v>
      </c>
      <c r="G6" s="11">
        <v>1.4654</v>
      </c>
      <c r="H6" s="13">
        <v>5972</v>
      </c>
      <c r="I6" s="13">
        <v>28119</v>
      </c>
      <c r="J6" s="10">
        <v>107</v>
      </c>
      <c r="K6" s="13">
        <v>21</v>
      </c>
      <c r="L6" s="17">
        <v>25.58</v>
      </c>
      <c r="M6" s="13">
        <v>0</v>
      </c>
    </row>
    <row r="7" spans="1:13" x14ac:dyDescent="0.25">
      <c r="A7" s="10">
        <v>6</v>
      </c>
      <c r="B7" s="10">
        <v>6</v>
      </c>
      <c r="C7" s="13">
        <v>910636</v>
      </c>
      <c r="D7" s="13">
        <v>909965</v>
      </c>
      <c r="E7" s="9">
        <v>1063.4000000000001</v>
      </c>
      <c r="F7" s="9">
        <v>174.7</v>
      </c>
      <c r="G7" s="11">
        <v>1.4646999999999999</v>
      </c>
      <c r="H7" s="13">
        <v>3717</v>
      </c>
      <c r="I7" s="13">
        <v>28141</v>
      </c>
      <c r="J7" s="10">
        <v>108</v>
      </c>
      <c r="K7" s="13">
        <v>32</v>
      </c>
      <c r="L7" s="17">
        <v>25.58</v>
      </c>
      <c r="M7" s="13">
        <v>0</v>
      </c>
    </row>
    <row r="8" spans="1:13" x14ac:dyDescent="0.25">
      <c r="A8" s="10">
        <v>7</v>
      </c>
      <c r="B8" s="10">
        <v>7</v>
      </c>
      <c r="C8" s="13">
        <v>911156</v>
      </c>
      <c r="D8" s="13">
        <v>910561</v>
      </c>
      <c r="E8" s="9">
        <v>1065.7</v>
      </c>
      <c r="F8" s="9">
        <v>176.9</v>
      </c>
      <c r="G8" s="11">
        <v>1.4646999999999999</v>
      </c>
      <c r="H8" s="13">
        <v>4575</v>
      </c>
      <c r="I8" s="13">
        <v>28293</v>
      </c>
      <c r="J8" s="10">
        <v>105</v>
      </c>
      <c r="K8" s="13">
        <v>29</v>
      </c>
      <c r="L8" s="17">
        <v>25.59</v>
      </c>
      <c r="M8" s="13">
        <v>0</v>
      </c>
    </row>
    <row r="9" spans="1:13" x14ac:dyDescent="0.25">
      <c r="A9" s="10">
        <v>8</v>
      </c>
      <c r="B9" s="10">
        <v>8</v>
      </c>
      <c r="C9" s="13">
        <v>909704</v>
      </c>
      <c r="D9" s="13">
        <v>909142</v>
      </c>
      <c r="E9" s="9">
        <v>1066.5</v>
      </c>
      <c r="F9" s="9">
        <v>177.2</v>
      </c>
      <c r="G9" s="11">
        <v>1.466</v>
      </c>
      <c r="H9" s="13">
        <v>4065</v>
      </c>
      <c r="I9" s="13">
        <v>27982</v>
      </c>
      <c r="J9" s="10">
        <v>105</v>
      </c>
      <c r="K9" s="13">
        <v>42</v>
      </c>
      <c r="L9" s="17">
        <v>25.58</v>
      </c>
      <c r="M9" s="13">
        <v>0</v>
      </c>
    </row>
    <row r="10" spans="1:13" x14ac:dyDescent="0.25">
      <c r="A10" s="10">
        <v>9</v>
      </c>
      <c r="B10" s="10">
        <v>9</v>
      </c>
      <c r="C10" s="13">
        <v>911380</v>
      </c>
      <c r="D10" s="13">
        <v>910826</v>
      </c>
      <c r="E10" s="9">
        <v>1062.5</v>
      </c>
      <c r="F10" s="9">
        <v>173.7</v>
      </c>
      <c r="G10" s="11">
        <v>1.4661999999999999</v>
      </c>
      <c r="H10" s="13">
        <v>6400</v>
      </c>
      <c r="I10" s="13">
        <v>28307</v>
      </c>
      <c r="J10" s="10">
        <v>105</v>
      </c>
      <c r="K10" s="13">
        <v>43</v>
      </c>
      <c r="L10" s="17">
        <v>25.58</v>
      </c>
      <c r="M10" s="13">
        <v>0</v>
      </c>
    </row>
    <row r="11" spans="1:13" x14ac:dyDescent="0.25">
      <c r="A11" s="10">
        <v>10</v>
      </c>
      <c r="B11" s="10">
        <v>10</v>
      </c>
      <c r="C11" s="13">
        <v>911280</v>
      </c>
      <c r="D11" s="13">
        <v>910690</v>
      </c>
      <c r="E11" s="9">
        <v>1064.0999999999999</v>
      </c>
      <c r="F11" s="9">
        <v>174.2</v>
      </c>
      <c r="G11" s="11">
        <v>1.4659</v>
      </c>
      <c r="H11" s="13">
        <v>1556</v>
      </c>
      <c r="I11" s="13">
        <v>27799</v>
      </c>
      <c r="J11" s="10">
        <v>106</v>
      </c>
      <c r="K11" s="13">
        <v>24</v>
      </c>
      <c r="L11" s="17">
        <v>25.58</v>
      </c>
      <c r="M11" s="13">
        <v>0</v>
      </c>
    </row>
    <row r="12" spans="1:13" x14ac:dyDescent="0.25">
      <c r="A12" s="10">
        <v>11</v>
      </c>
      <c r="B12" s="10">
        <v>11</v>
      </c>
      <c r="C12" s="13">
        <v>910032</v>
      </c>
      <c r="D12" s="13">
        <v>909435</v>
      </c>
      <c r="E12" s="9">
        <v>1064.8</v>
      </c>
      <c r="F12" s="9">
        <v>174.6</v>
      </c>
      <c r="G12" s="11">
        <v>1.4671000000000001</v>
      </c>
      <c r="H12" s="13">
        <v>3298</v>
      </c>
      <c r="I12" s="13">
        <v>28758</v>
      </c>
      <c r="J12" s="10">
        <v>106</v>
      </c>
      <c r="K12" s="13">
        <v>31</v>
      </c>
      <c r="L12" s="17">
        <v>25.58</v>
      </c>
      <c r="M12" s="13">
        <v>0</v>
      </c>
    </row>
    <row r="13" spans="1:13" x14ac:dyDescent="0.25">
      <c r="A13" s="10">
        <v>12</v>
      </c>
      <c r="B13" s="10">
        <v>12</v>
      </c>
      <c r="C13" s="13">
        <v>910990</v>
      </c>
      <c r="D13" s="13">
        <v>910426</v>
      </c>
      <c r="E13" s="9">
        <v>1065.4000000000001</v>
      </c>
      <c r="F13" s="9">
        <v>176.4</v>
      </c>
      <c r="G13" s="11">
        <v>1.4648000000000001</v>
      </c>
      <c r="H13" s="13">
        <v>5468</v>
      </c>
      <c r="I13" s="13">
        <v>28195</v>
      </c>
      <c r="J13" s="10">
        <v>108</v>
      </c>
      <c r="K13" s="13">
        <v>41</v>
      </c>
      <c r="L13" s="17">
        <v>25.59</v>
      </c>
      <c r="M13" s="13">
        <v>0</v>
      </c>
    </row>
    <row r="14" spans="1:13" x14ac:dyDescent="0.25">
      <c r="A14" s="10">
        <v>13</v>
      </c>
      <c r="B14" s="10">
        <v>13</v>
      </c>
      <c r="C14" s="13">
        <v>909989</v>
      </c>
      <c r="D14" s="13">
        <v>909378</v>
      </c>
      <c r="E14" s="9">
        <v>1064.0999999999999</v>
      </c>
      <c r="F14" s="9">
        <v>174.5</v>
      </c>
      <c r="G14" s="11">
        <v>1.4666999999999999</v>
      </c>
      <c r="H14" s="13">
        <v>5142</v>
      </c>
      <c r="I14" s="13">
        <v>28134</v>
      </c>
      <c r="J14" s="10">
        <v>108</v>
      </c>
      <c r="K14" s="13">
        <v>49</v>
      </c>
      <c r="L14" s="17">
        <v>25.57</v>
      </c>
      <c r="M14" s="13">
        <v>0</v>
      </c>
    </row>
    <row r="15" spans="1:13" x14ac:dyDescent="0.25">
      <c r="A15" s="10">
        <v>14</v>
      </c>
      <c r="B15" s="10">
        <v>14</v>
      </c>
      <c r="C15" s="13">
        <v>911070</v>
      </c>
      <c r="D15" s="13">
        <v>910442</v>
      </c>
      <c r="E15" s="9">
        <v>1065</v>
      </c>
      <c r="F15" s="9">
        <v>176.1</v>
      </c>
      <c r="G15" s="11">
        <v>1.4655</v>
      </c>
      <c r="H15" s="13">
        <v>3481</v>
      </c>
      <c r="I15" s="13">
        <v>28267</v>
      </c>
      <c r="J15" s="10">
        <v>107</v>
      </c>
      <c r="K15" s="13">
        <v>48</v>
      </c>
      <c r="L15" s="17">
        <v>25.59</v>
      </c>
      <c r="M15" s="13">
        <v>0</v>
      </c>
    </row>
    <row r="16" spans="1:13" x14ac:dyDescent="0.25">
      <c r="A16" s="10">
        <v>15</v>
      </c>
      <c r="B16" s="10">
        <v>15</v>
      </c>
      <c r="C16" s="13">
        <v>910189</v>
      </c>
      <c r="D16" s="13">
        <v>909571</v>
      </c>
      <c r="E16" s="9">
        <v>1062.9000000000001</v>
      </c>
      <c r="F16" s="9">
        <v>174</v>
      </c>
      <c r="G16" s="11">
        <v>1.4653</v>
      </c>
      <c r="H16" s="13">
        <v>5710</v>
      </c>
      <c r="I16" s="13">
        <v>27712</v>
      </c>
      <c r="J16" s="10">
        <v>106</v>
      </c>
      <c r="K16" s="13">
        <v>44</v>
      </c>
      <c r="L16" s="17">
        <v>25.58</v>
      </c>
      <c r="M16" s="13">
        <v>0</v>
      </c>
    </row>
    <row r="17" spans="1:13" x14ac:dyDescent="0.25">
      <c r="A17" s="10">
        <v>16</v>
      </c>
      <c r="B17" s="10">
        <v>16</v>
      </c>
      <c r="C17" s="13">
        <v>910752</v>
      </c>
      <c r="D17" s="13">
        <v>910208</v>
      </c>
      <c r="E17" s="9">
        <v>1063.2</v>
      </c>
      <c r="F17" s="9">
        <v>174.7</v>
      </c>
      <c r="G17" s="11">
        <v>1.4655</v>
      </c>
      <c r="H17" s="13">
        <v>3561</v>
      </c>
      <c r="I17" s="13">
        <v>27814</v>
      </c>
      <c r="J17" s="10">
        <v>108</v>
      </c>
      <c r="K17" s="13">
        <v>42</v>
      </c>
      <c r="L17" s="17">
        <v>25.59</v>
      </c>
      <c r="M17" s="13">
        <v>0</v>
      </c>
    </row>
    <row r="18" spans="1:13" x14ac:dyDescent="0.25">
      <c r="A18" s="10">
        <v>17</v>
      </c>
      <c r="B18" s="10">
        <v>17</v>
      </c>
      <c r="C18" s="13">
        <v>910107</v>
      </c>
      <c r="D18" s="13">
        <v>909502</v>
      </c>
      <c r="E18" s="9">
        <v>1064.7</v>
      </c>
      <c r="F18" s="9">
        <v>176.3</v>
      </c>
      <c r="G18" s="11">
        <v>1.4653</v>
      </c>
      <c r="H18" s="13">
        <v>5604</v>
      </c>
      <c r="I18" s="13">
        <v>27792</v>
      </c>
      <c r="J18" s="10">
        <v>108</v>
      </c>
      <c r="K18" s="13">
        <v>34</v>
      </c>
      <c r="L18" s="17">
        <v>25.58</v>
      </c>
      <c r="M18" s="13">
        <v>0</v>
      </c>
    </row>
    <row r="19" spans="1:13" x14ac:dyDescent="0.25">
      <c r="A19" s="10">
        <v>18</v>
      </c>
      <c r="B19" s="10">
        <v>18</v>
      </c>
      <c r="C19" s="13">
        <v>910660</v>
      </c>
      <c r="D19" s="13">
        <v>910121</v>
      </c>
      <c r="E19" s="9">
        <v>1062.4000000000001</v>
      </c>
      <c r="F19" s="9">
        <v>173.2</v>
      </c>
      <c r="G19" s="11">
        <v>1.4652000000000001</v>
      </c>
      <c r="H19" s="13">
        <v>3092</v>
      </c>
      <c r="I19" s="13">
        <v>28278</v>
      </c>
      <c r="J19" s="10">
        <v>107</v>
      </c>
      <c r="K19" s="13">
        <v>38</v>
      </c>
      <c r="L19" s="17">
        <v>25.57</v>
      </c>
      <c r="M19" s="13">
        <v>0</v>
      </c>
    </row>
    <row r="20" spans="1:13" x14ac:dyDescent="0.25">
      <c r="A20" s="10">
        <v>19</v>
      </c>
      <c r="B20" s="10">
        <v>19</v>
      </c>
      <c r="C20" s="13">
        <v>912012</v>
      </c>
      <c r="D20" s="13">
        <v>911463</v>
      </c>
      <c r="E20" s="9">
        <v>1065.7</v>
      </c>
      <c r="F20" s="9">
        <v>177.3</v>
      </c>
      <c r="G20" s="11">
        <v>1.4649000000000001</v>
      </c>
      <c r="H20" s="13">
        <v>5139</v>
      </c>
      <c r="I20" s="13">
        <v>28518</v>
      </c>
      <c r="J20" s="10">
        <v>107</v>
      </c>
      <c r="K20" s="13">
        <v>54</v>
      </c>
      <c r="L20" s="17">
        <v>25.59</v>
      </c>
      <c r="M20" s="13">
        <v>0</v>
      </c>
    </row>
    <row r="21" spans="1:13" x14ac:dyDescent="0.25">
      <c r="A21" s="10">
        <v>20</v>
      </c>
      <c r="B21" s="10">
        <v>20</v>
      </c>
      <c r="C21" s="13">
        <v>910606</v>
      </c>
      <c r="D21" s="13">
        <v>910042</v>
      </c>
      <c r="E21" s="9">
        <v>1063.0999999999999</v>
      </c>
      <c r="F21" s="9">
        <v>173.9</v>
      </c>
      <c r="G21" s="11">
        <v>1.4655</v>
      </c>
      <c r="H21" s="13">
        <v>2259</v>
      </c>
      <c r="I21" s="13">
        <v>28131</v>
      </c>
      <c r="J21" s="10">
        <v>106</v>
      </c>
      <c r="K21" s="13">
        <v>35</v>
      </c>
      <c r="L21" s="17">
        <v>25.59</v>
      </c>
      <c r="M21" s="13">
        <v>0</v>
      </c>
    </row>
    <row r="22" spans="1:13" x14ac:dyDescent="0.25">
      <c r="A22" s="10">
        <v>21</v>
      </c>
      <c r="B22" s="10">
        <v>21</v>
      </c>
      <c r="C22" s="13">
        <v>910748</v>
      </c>
      <c r="D22" s="13">
        <v>910163</v>
      </c>
      <c r="E22" s="9">
        <v>1063.3</v>
      </c>
      <c r="F22" s="9">
        <v>173.9</v>
      </c>
      <c r="G22" s="11">
        <v>1.4658</v>
      </c>
      <c r="H22" s="13">
        <v>2148</v>
      </c>
      <c r="I22" s="13">
        <v>28355</v>
      </c>
      <c r="J22" s="10">
        <v>106</v>
      </c>
      <c r="K22" s="13">
        <v>36</v>
      </c>
      <c r="L22" s="17">
        <v>25.57</v>
      </c>
      <c r="M22" s="13">
        <v>0</v>
      </c>
    </row>
    <row r="23" spans="1:13" x14ac:dyDescent="0.25">
      <c r="A23" s="10">
        <v>22</v>
      </c>
      <c r="B23" s="10">
        <v>22</v>
      </c>
      <c r="C23" s="13">
        <v>911449</v>
      </c>
      <c r="D23" s="13">
        <v>910855</v>
      </c>
      <c r="E23" s="9">
        <v>1066.2</v>
      </c>
      <c r="F23" s="9">
        <v>177.4</v>
      </c>
      <c r="G23" s="11">
        <v>1.4659</v>
      </c>
      <c r="H23" s="13">
        <v>9338</v>
      </c>
      <c r="I23" s="13">
        <v>28154</v>
      </c>
      <c r="J23" s="10">
        <v>108</v>
      </c>
      <c r="K23" s="13">
        <v>36</v>
      </c>
      <c r="L23" s="17">
        <v>25.59</v>
      </c>
      <c r="M23" s="13">
        <v>0</v>
      </c>
    </row>
    <row r="24" spans="1:13" x14ac:dyDescent="0.25">
      <c r="A24" s="10">
        <v>23</v>
      </c>
      <c r="B24" s="10">
        <v>23</v>
      </c>
      <c r="C24" s="13">
        <v>911509</v>
      </c>
      <c r="D24" s="13">
        <v>910943</v>
      </c>
      <c r="E24" s="9">
        <v>1064.9000000000001</v>
      </c>
      <c r="F24" s="9">
        <v>176.1</v>
      </c>
      <c r="G24" s="11">
        <v>1.4652000000000001</v>
      </c>
      <c r="H24" s="13">
        <v>3422</v>
      </c>
      <c r="I24" s="13">
        <v>28366</v>
      </c>
      <c r="J24" s="10">
        <v>107</v>
      </c>
      <c r="K24" s="13">
        <v>43</v>
      </c>
      <c r="L24" s="17">
        <v>25.58</v>
      </c>
      <c r="M24" s="13">
        <v>0</v>
      </c>
    </row>
    <row r="25" spans="1:13" x14ac:dyDescent="0.25">
      <c r="A25" s="10">
        <v>24</v>
      </c>
      <c r="B25" s="10">
        <v>24</v>
      </c>
      <c r="C25" s="13">
        <v>911062</v>
      </c>
      <c r="D25" s="13">
        <v>910463</v>
      </c>
      <c r="E25" s="9">
        <v>1064</v>
      </c>
      <c r="F25" s="9">
        <v>174.6</v>
      </c>
      <c r="G25" s="11">
        <v>1.4656</v>
      </c>
      <c r="H25" s="13">
        <v>1707</v>
      </c>
      <c r="I25" s="13">
        <v>28304</v>
      </c>
      <c r="J25" s="10">
        <v>108</v>
      </c>
      <c r="K25" s="13">
        <v>55</v>
      </c>
      <c r="L25" s="17">
        <v>25.58</v>
      </c>
      <c r="M25" s="13">
        <v>0</v>
      </c>
    </row>
    <row r="26" spans="1:13" x14ac:dyDescent="0.25">
      <c r="A26" s="10">
        <v>25</v>
      </c>
      <c r="B26" s="10">
        <v>25</v>
      </c>
      <c r="C26" s="13">
        <v>912369</v>
      </c>
      <c r="D26" s="13">
        <v>911811</v>
      </c>
      <c r="E26" s="9">
        <v>1062.4000000000001</v>
      </c>
      <c r="F26" s="9">
        <v>174.1</v>
      </c>
      <c r="G26" s="11">
        <v>1.4653</v>
      </c>
      <c r="H26" s="13">
        <v>2000</v>
      </c>
      <c r="I26" s="13">
        <v>27862</v>
      </c>
      <c r="J26" s="10">
        <v>106</v>
      </c>
      <c r="K26" s="13">
        <v>46</v>
      </c>
      <c r="L26" s="17">
        <v>25.58</v>
      </c>
      <c r="M26" s="13">
        <v>0</v>
      </c>
    </row>
    <row r="27" spans="1:13" x14ac:dyDescent="0.25">
      <c r="A27" s="10">
        <v>26</v>
      </c>
      <c r="B27" s="10">
        <v>26</v>
      </c>
      <c r="C27" s="13">
        <v>910564</v>
      </c>
      <c r="D27" s="13">
        <v>909943</v>
      </c>
      <c r="E27" s="9">
        <v>1065.2</v>
      </c>
      <c r="F27" s="9">
        <v>176.3</v>
      </c>
      <c r="G27" s="11">
        <v>1.4669000000000001</v>
      </c>
      <c r="H27" s="13">
        <v>3654</v>
      </c>
      <c r="I27" s="13">
        <v>27913</v>
      </c>
      <c r="J27" s="10">
        <v>106</v>
      </c>
      <c r="K27" s="13">
        <v>14</v>
      </c>
      <c r="L27" s="17">
        <v>25.59</v>
      </c>
      <c r="M27" s="13">
        <v>0</v>
      </c>
    </row>
    <row r="28" spans="1:13" x14ac:dyDescent="0.25">
      <c r="A28" s="10">
        <v>27</v>
      </c>
      <c r="B28" s="10">
        <v>27</v>
      </c>
      <c r="C28" s="13">
        <v>910448</v>
      </c>
      <c r="D28" s="13">
        <v>909820</v>
      </c>
      <c r="E28" s="9">
        <v>1064.9000000000001</v>
      </c>
      <c r="F28" s="9">
        <v>175.1</v>
      </c>
      <c r="G28" s="11">
        <v>1.4663999999999999</v>
      </c>
      <c r="H28" s="13">
        <v>4461</v>
      </c>
      <c r="I28" s="13">
        <v>28647</v>
      </c>
      <c r="J28" s="10">
        <v>106</v>
      </c>
      <c r="K28" s="13">
        <v>40</v>
      </c>
      <c r="L28" s="17">
        <v>25.58</v>
      </c>
      <c r="M28" s="13">
        <v>0</v>
      </c>
    </row>
    <row r="29" spans="1:13" x14ac:dyDescent="0.25">
      <c r="A29" s="10">
        <v>28</v>
      </c>
      <c r="B29" s="10">
        <v>28</v>
      </c>
      <c r="C29" s="13">
        <v>912576</v>
      </c>
      <c r="D29" s="13">
        <v>912011</v>
      </c>
      <c r="E29" s="9">
        <v>1063.5</v>
      </c>
      <c r="F29" s="9">
        <v>174</v>
      </c>
      <c r="G29" s="11">
        <v>1.4651000000000001</v>
      </c>
      <c r="H29" s="13">
        <v>2934</v>
      </c>
      <c r="I29" s="13">
        <v>28158</v>
      </c>
      <c r="J29" s="10">
        <v>107</v>
      </c>
      <c r="K29" s="13">
        <v>34</v>
      </c>
      <c r="L29" s="17">
        <v>25.58</v>
      </c>
      <c r="M29" s="13">
        <v>0</v>
      </c>
    </row>
    <row r="30" spans="1:13" x14ac:dyDescent="0.25">
      <c r="A30" s="10">
        <v>29</v>
      </c>
      <c r="B30" s="10">
        <v>29</v>
      </c>
      <c r="C30" s="13">
        <v>910921</v>
      </c>
      <c r="D30" s="13">
        <v>910392</v>
      </c>
      <c r="E30" s="9">
        <v>1066.9000000000001</v>
      </c>
      <c r="F30" s="9">
        <v>178.2</v>
      </c>
      <c r="G30" s="11">
        <v>1.4650000000000001</v>
      </c>
      <c r="H30" s="13">
        <v>3021</v>
      </c>
      <c r="I30" s="13">
        <v>27864</v>
      </c>
      <c r="J30" s="10">
        <v>106</v>
      </c>
      <c r="K30" s="13">
        <v>42</v>
      </c>
      <c r="L30" s="17">
        <v>25.6</v>
      </c>
      <c r="M30" s="13">
        <v>0</v>
      </c>
    </row>
    <row r="31" spans="1:13" x14ac:dyDescent="0.25">
      <c r="A31" s="10">
        <v>30</v>
      </c>
      <c r="B31" s="10">
        <v>30</v>
      </c>
      <c r="C31" s="13">
        <v>911538</v>
      </c>
      <c r="D31" s="13">
        <v>910973</v>
      </c>
      <c r="E31" s="9">
        <v>1059.9000000000001</v>
      </c>
      <c r="F31" s="9">
        <v>171.1</v>
      </c>
      <c r="G31" s="11">
        <v>1.4659</v>
      </c>
      <c r="H31" s="13">
        <v>1986</v>
      </c>
      <c r="I31" s="13">
        <v>28244</v>
      </c>
      <c r="J31" s="10">
        <v>107</v>
      </c>
      <c r="K31" s="13">
        <v>37</v>
      </c>
      <c r="L31" s="17">
        <v>25.57</v>
      </c>
      <c r="M31" s="13">
        <v>0</v>
      </c>
    </row>
    <row r="32" spans="1:13" x14ac:dyDescent="0.25">
      <c r="A32" s="10">
        <v>31</v>
      </c>
      <c r="B32" s="10">
        <v>31</v>
      </c>
      <c r="C32" s="13">
        <v>910627</v>
      </c>
      <c r="D32" s="13">
        <v>910032</v>
      </c>
      <c r="E32" s="9">
        <v>1061.2</v>
      </c>
      <c r="F32" s="9">
        <v>172.1</v>
      </c>
      <c r="G32" s="11">
        <v>1.4661</v>
      </c>
      <c r="H32" s="13">
        <v>1935</v>
      </c>
      <c r="I32" s="13">
        <v>28098</v>
      </c>
      <c r="J32" s="10">
        <v>107</v>
      </c>
      <c r="K32" s="13">
        <v>60</v>
      </c>
      <c r="L32" s="17">
        <v>25.58</v>
      </c>
      <c r="M32" s="13">
        <v>0</v>
      </c>
    </row>
    <row r="33" spans="1:13" x14ac:dyDescent="0.25">
      <c r="A33" s="10">
        <v>32</v>
      </c>
      <c r="B33" s="10">
        <v>32</v>
      </c>
      <c r="C33" s="13">
        <v>911212</v>
      </c>
      <c r="D33" s="13">
        <v>910600</v>
      </c>
      <c r="E33" s="9">
        <v>1067.5999999999999</v>
      </c>
      <c r="F33" s="9">
        <v>177.8</v>
      </c>
      <c r="G33" s="11">
        <v>1.4657</v>
      </c>
      <c r="H33" s="13">
        <v>5139</v>
      </c>
      <c r="I33" s="13">
        <v>28427</v>
      </c>
      <c r="J33" s="10">
        <v>105</v>
      </c>
      <c r="K33" s="13">
        <v>32</v>
      </c>
      <c r="L33" s="17">
        <v>25.6</v>
      </c>
      <c r="M33" s="13">
        <v>0</v>
      </c>
    </row>
    <row r="34" spans="1:13" x14ac:dyDescent="0.25">
      <c r="A34" s="10">
        <v>33</v>
      </c>
      <c r="B34" s="10">
        <v>33</v>
      </c>
      <c r="C34" s="13">
        <v>911365</v>
      </c>
      <c r="D34" s="13">
        <v>910827</v>
      </c>
      <c r="E34" s="9">
        <v>1063.2</v>
      </c>
      <c r="F34" s="9">
        <v>174.4</v>
      </c>
      <c r="G34" s="11">
        <v>1.4655</v>
      </c>
      <c r="H34" s="13">
        <v>4041</v>
      </c>
      <c r="I34" s="13">
        <v>28033</v>
      </c>
      <c r="J34" s="10">
        <v>107</v>
      </c>
      <c r="K34" s="13">
        <v>28</v>
      </c>
      <c r="L34" s="17">
        <v>25.58</v>
      </c>
      <c r="M34" s="13">
        <v>0</v>
      </c>
    </row>
    <row r="35" spans="1:13" x14ac:dyDescent="0.25">
      <c r="A35" s="10">
        <v>34</v>
      </c>
      <c r="B35" s="10">
        <v>34</v>
      </c>
      <c r="C35" s="13">
        <v>911050</v>
      </c>
      <c r="D35" s="13">
        <v>910491</v>
      </c>
      <c r="E35" s="9">
        <v>1062.2</v>
      </c>
      <c r="F35" s="9">
        <v>172.7</v>
      </c>
      <c r="G35" s="11">
        <v>1.4656</v>
      </c>
      <c r="H35" s="13">
        <v>2053</v>
      </c>
      <c r="I35" s="13">
        <v>28305</v>
      </c>
      <c r="J35" s="10">
        <v>107</v>
      </c>
      <c r="K35" s="13">
        <v>50</v>
      </c>
      <c r="L35" s="17">
        <v>25.58</v>
      </c>
      <c r="M35" s="13">
        <v>0</v>
      </c>
    </row>
    <row r="36" spans="1:13" x14ac:dyDescent="0.25">
      <c r="A36" s="10">
        <v>35</v>
      </c>
      <c r="B36" s="10">
        <v>35</v>
      </c>
      <c r="C36" s="13">
        <v>910532</v>
      </c>
      <c r="D36" s="13">
        <v>909841</v>
      </c>
      <c r="E36" s="9">
        <v>1073.8</v>
      </c>
      <c r="F36" s="9">
        <v>185.2</v>
      </c>
      <c r="G36" s="11">
        <v>1.4657</v>
      </c>
      <c r="H36" s="13">
        <v>26847</v>
      </c>
      <c r="I36" s="13">
        <v>30639</v>
      </c>
      <c r="J36" s="10">
        <v>107</v>
      </c>
      <c r="K36" s="13">
        <v>51</v>
      </c>
      <c r="L36" s="17">
        <v>25.59</v>
      </c>
      <c r="M36" s="13">
        <v>0</v>
      </c>
    </row>
    <row r="37" spans="1:13" x14ac:dyDescent="0.25">
      <c r="A37" s="10">
        <v>36</v>
      </c>
      <c r="B37" s="10">
        <v>36</v>
      </c>
      <c r="C37" s="13">
        <v>910522</v>
      </c>
      <c r="D37" s="13">
        <v>909886</v>
      </c>
      <c r="E37" s="9">
        <v>1066.5</v>
      </c>
      <c r="F37" s="9">
        <v>176.9</v>
      </c>
      <c r="G37" s="11">
        <v>1.4653</v>
      </c>
      <c r="H37" s="13">
        <v>7180</v>
      </c>
      <c r="I37" s="13">
        <v>28441</v>
      </c>
      <c r="J37" s="10">
        <v>106</v>
      </c>
      <c r="K37" s="13">
        <v>30</v>
      </c>
      <c r="L37" s="17">
        <v>25.58</v>
      </c>
      <c r="M37" s="13">
        <v>0</v>
      </c>
    </row>
    <row r="38" spans="1:13" x14ac:dyDescent="0.25">
      <c r="A38" s="10">
        <v>37</v>
      </c>
      <c r="B38" s="10">
        <v>37</v>
      </c>
      <c r="C38" s="13">
        <v>911427</v>
      </c>
      <c r="D38" s="13">
        <v>910850</v>
      </c>
      <c r="E38" s="9">
        <v>1066.2</v>
      </c>
      <c r="F38" s="9">
        <v>177.7</v>
      </c>
      <c r="G38" s="11">
        <v>1.4655</v>
      </c>
      <c r="H38" s="13">
        <v>5904</v>
      </c>
      <c r="I38" s="13">
        <v>28136</v>
      </c>
      <c r="J38" s="10">
        <v>104</v>
      </c>
      <c r="K38" s="13">
        <v>49</v>
      </c>
      <c r="L38" s="17">
        <v>25.6</v>
      </c>
      <c r="M38" s="13">
        <v>0</v>
      </c>
    </row>
    <row r="39" spans="1:13" x14ac:dyDescent="0.25">
      <c r="A39" s="10">
        <v>38</v>
      </c>
      <c r="B39" s="10">
        <v>38</v>
      </c>
      <c r="C39" s="13">
        <v>910925</v>
      </c>
      <c r="D39" s="13">
        <v>910343</v>
      </c>
      <c r="E39" s="9">
        <v>1065.2</v>
      </c>
      <c r="F39" s="9">
        <v>176.4</v>
      </c>
      <c r="G39" s="11">
        <v>1.4658</v>
      </c>
      <c r="H39" s="13">
        <v>7153</v>
      </c>
      <c r="I39" s="13">
        <v>28112</v>
      </c>
      <c r="J39" s="10">
        <v>108</v>
      </c>
      <c r="K39" s="13">
        <v>41</v>
      </c>
      <c r="L39" s="17">
        <v>25.58</v>
      </c>
      <c r="M39" s="13">
        <v>0</v>
      </c>
    </row>
    <row r="40" spans="1:13" x14ac:dyDescent="0.25">
      <c r="A40" s="10">
        <v>39</v>
      </c>
      <c r="B40" s="10">
        <v>39</v>
      </c>
      <c r="C40" s="13">
        <v>911891</v>
      </c>
      <c r="D40" s="13">
        <v>911271</v>
      </c>
      <c r="E40" s="9">
        <v>1066</v>
      </c>
      <c r="F40" s="9">
        <v>176.6</v>
      </c>
      <c r="G40" s="11">
        <v>1.4658</v>
      </c>
      <c r="H40" s="13">
        <v>1736</v>
      </c>
      <c r="I40" s="13">
        <v>28386</v>
      </c>
      <c r="J40" s="10">
        <v>105</v>
      </c>
      <c r="K40" s="13">
        <v>44</v>
      </c>
      <c r="L40" s="17">
        <v>25.59</v>
      </c>
      <c r="M40" s="13">
        <v>0</v>
      </c>
    </row>
    <row r="41" spans="1:13" x14ac:dyDescent="0.25">
      <c r="A41" s="10">
        <v>40</v>
      </c>
      <c r="B41" s="10">
        <v>40</v>
      </c>
      <c r="C41" s="13">
        <v>912549</v>
      </c>
      <c r="D41" s="13">
        <v>911977</v>
      </c>
      <c r="E41" s="9">
        <v>1062.4000000000001</v>
      </c>
      <c r="F41" s="9">
        <v>173.4</v>
      </c>
      <c r="G41" s="11">
        <v>1.4656</v>
      </c>
      <c r="H41" s="13">
        <v>1252</v>
      </c>
      <c r="I41" s="13">
        <v>27780</v>
      </c>
      <c r="J41" s="10">
        <v>105</v>
      </c>
      <c r="K41" s="13">
        <v>41</v>
      </c>
      <c r="L41" s="17">
        <v>25.58</v>
      </c>
      <c r="M41" s="13">
        <v>0</v>
      </c>
    </row>
    <row r="42" spans="1:13" x14ac:dyDescent="0.25">
      <c r="A42" s="10">
        <v>41</v>
      </c>
      <c r="B42" s="10">
        <v>41</v>
      </c>
      <c r="C42" s="13">
        <v>910943</v>
      </c>
      <c r="D42" s="13">
        <v>910338</v>
      </c>
      <c r="E42" s="9">
        <v>1066.0999999999999</v>
      </c>
      <c r="F42" s="9">
        <v>177</v>
      </c>
      <c r="G42" s="11">
        <v>1.4664999999999999</v>
      </c>
      <c r="H42" s="13">
        <v>4907</v>
      </c>
      <c r="I42" s="13">
        <v>28301</v>
      </c>
      <c r="J42" s="10">
        <v>107</v>
      </c>
      <c r="K42" s="13">
        <v>28</v>
      </c>
      <c r="L42" s="17">
        <v>25.59</v>
      </c>
      <c r="M42" s="13">
        <v>0</v>
      </c>
    </row>
    <row r="43" spans="1:13" x14ac:dyDescent="0.25">
      <c r="A43" s="10">
        <v>42</v>
      </c>
      <c r="B43" s="10">
        <v>42</v>
      </c>
      <c r="C43" s="13">
        <v>910507</v>
      </c>
      <c r="D43" s="13">
        <v>909864</v>
      </c>
      <c r="E43" s="9">
        <v>1065.2</v>
      </c>
      <c r="F43" s="9">
        <v>176.8</v>
      </c>
      <c r="G43" s="11">
        <v>1.4649000000000001</v>
      </c>
      <c r="H43" s="13">
        <v>3276</v>
      </c>
      <c r="I43" s="13">
        <v>28628</v>
      </c>
      <c r="J43" s="10">
        <v>104</v>
      </c>
      <c r="K43" s="13">
        <v>38</v>
      </c>
      <c r="L43" s="17">
        <v>25.59</v>
      </c>
      <c r="M43" s="13">
        <v>0</v>
      </c>
    </row>
    <row r="44" spans="1:13" x14ac:dyDescent="0.25">
      <c r="A44" s="10">
        <v>43</v>
      </c>
      <c r="B44" s="10">
        <v>43</v>
      </c>
      <c r="C44" s="13">
        <v>909423</v>
      </c>
      <c r="D44" s="13">
        <v>908834</v>
      </c>
      <c r="E44" s="9">
        <v>1065.8</v>
      </c>
      <c r="F44" s="9">
        <v>177</v>
      </c>
      <c r="G44" s="11">
        <v>1.4654</v>
      </c>
      <c r="H44" s="13">
        <v>7867</v>
      </c>
      <c r="I44" s="13">
        <v>29180</v>
      </c>
      <c r="J44" s="10">
        <v>108</v>
      </c>
      <c r="K44" s="13">
        <v>30</v>
      </c>
      <c r="L44" s="17">
        <v>25.59</v>
      </c>
      <c r="M44" s="13">
        <v>0</v>
      </c>
    </row>
    <row r="45" spans="1:13" x14ac:dyDescent="0.25">
      <c r="A45" s="10">
        <v>44</v>
      </c>
      <c r="B45" s="10">
        <v>44</v>
      </c>
      <c r="C45" s="13">
        <v>910172</v>
      </c>
      <c r="D45" s="13">
        <v>909598</v>
      </c>
      <c r="E45" s="9">
        <v>1061.3</v>
      </c>
      <c r="F45" s="9">
        <v>172.8</v>
      </c>
      <c r="G45" s="11">
        <v>1.4652000000000001</v>
      </c>
      <c r="H45" s="13">
        <v>1819</v>
      </c>
      <c r="I45" s="13">
        <v>27872</v>
      </c>
      <c r="J45" s="10">
        <v>107</v>
      </c>
      <c r="K45" s="13">
        <v>49</v>
      </c>
      <c r="L45" s="17">
        <v>25.58</v>
      </c>
      <c r="M45" s="13">
        <v>0</v>
      </c>
    </row>
    <row r="46" spans="1:13" x14ac:dyDescent="0.25">
      <c r="A46" s="10">
        <v>45</v>
      </c>
      <c r="B46" s="10">
        <v>45</v>
      </c>
      <c r="C46" s="13">
        <v>909308</v>
      </c>
      <c r="D46" s="13">
        <v>908709</v>
      </c>
      <c r="E46" s="9">
        <v>1066.4000000000001</v>
      </c>
      <c r="F46" s="9">
        <v>176.9</v>
      </c>
      <c r="G46" s="11">
        <v>1.4666999999999999</v>
      </c>
      <c r="H46" s="13">
        <v>5980</v>
      </c>
      <c r="I46" s="13">
        <v>28803</v>
      </c>
      <c r="J46" s="10">
        <v>106</v>
      </c>
      <c r="K46" s="13">
        <v>41</v>
      </c>
      <c r="L46" s="17">
        <v>25.58</v>
      </c>
      <c r="M46" s="13">
        <v>0</v>
      </c>
    </row>
    <row r="47" spans="1:13" x14ac:dyDescent="0.25">
      <c r="A47" s="10">
        <v>46</v>
      </c>
      <c r="B47" s="10">
        <v>46</v>
      </c>
      <c r="C47" s="13">
        <v>912520</v>
      </c>
      <c r="D47" s="13">
        <v>911945</v>
      </c>
      <c r="E47" s="9">
        <v>1066.5999999999999</v>
      </c>
      <c r="F47" s="9">
        <v>177.4</v>
      </c>
      <c r="G47" s="11">
        <v>1.4664999999999999</v>
      </c>
      <c r="H47" s="13">
        <v>6860</v>
      </c>
      <c r="I47" s="13">
        <v>28320</v>
      </c>
      <c r="J47" s="10">
        <v>108</v>
      </c>
      <c r="K47" s="13">
        <v>49</v>
      </c>
      <c r="L47" s="17">
        <v>25.59</v>
      </c>
      <c r="M47" s="13">
        <v>0</v>
      </c>
    </row>
    <row r="48" spans="1:13" x14ac:dyDescent="0.25">
      <c r="A48" s="10">
        <v>47</v>
      </c>
      <c r="B48" s="10">
        <v>47</v>
      </c>
      <c r="C48" s="13">
        <v>910876</v>
      </c>
      <c r="D48" s="13">
        <v>910317</v>
      </c>
      <c r="E48" s="9">
        <v>1063.8</v>
      </c>
      <c r="F48" s="9">
        <v>174.9</v>
      </c>
      <c r="G48" s="11">
        <v>1.4659</v>
      </c>
      <c r="H48" s="13">
        <v>3314</v>
      </c>
      <c r="I48" s="13">
        <v>28356</v>
      </c>
      <c r="J48" s="10">
        <v>106</v>
      </c>
      <c r="K48" s="13">
        <v>41</v>
      </c>
      <c r="L48" s="17">
        <v>25.59</v>
      </c>
      <c r="M48" s="13">
        <v>0</v>
      </c>
    </row>
    <row r="49" spans="1:13" x14ac:dyDescent="0.25">
      <c r="A49" s="10">
        <v>48</v>
      </c>
      <c r="B49" s="10">
        <v>48</v>
      </c>
      <c r="C49" s="13">
        <v>912308</v>
      </c>
      <c r="D49" s="13">
        <v>911723</v>
      </c>
      <c r="E49" s="9">
        <v>1065</v>
      </c>
      <c r="F49" s="9">
        <v>176.4</v>
      </c>
      <c r="G49" s="11">
        <v>1.4646999999999999</v>
      </c>
      <c r="H49" s="13">
        <v>3777</v>
      </c>
      <c r="I49" s="13">
        <v>28001</v>
      </c>
      <c r="J49" s="10">
        <v>106</v>
      </c>
      <c r="K49" s="13">
        <v>46</v>
      </c>
      <c r="L49" s="17">
        <v>25.58</v>
      </c>
      <c r="M49" s="13">
        <v>0</v>
      </c>
    </row>
    <row r="50" spans="1:13" x14ac:dyDescent="0.25">
      <c r="A50" s="10">
        <v>49</v>
      </c>
      <c r="B50" s="10">
        <v>49</v>
      </c>
      <c r="C50" s="13">
        <v>910329</v>
      </c>
      <c r="D50" s="13">
        <v>909673</v>
      </c>
      <c r="E50" s="9">
        <v>1064.2</v>
      </c>
      <c r="F50" s="9">
        <v>175.1</v>
      </c>
      <c r="G50" s="11">
        <v>1.4650000000000001</v>
      </c>
      <c r="H50" s="13">
        <v>2013</v>
      </c>
      <c r="I50" s="13">
        <v>27610</v>
      </c>
      <c r="J50" s="10">
        <v>106</v>
      </c>
      <c r="K50" s="13">
        <v>29</v>
      </c>
      <c r="L50" s="17">
        <v>25.58</v>
      </c>
      <c r="M50" s="13">
        <v>0</v>
      </c>
    </row>
    <row r="51" spans="1:13" x14ac:dyDescent="0.25">
      <c r="A51" s="10">
        <v>50</v>
      </c>
      <c r="B51" s="10">
        <v>50</v>
      </c>
      <c r="C51" s="13">
        <v>911294</v>
      </c>
      <c r="D51" s="13">
        <v>910740</v>
      </c>
      <c r="E51" s="9">
        <v>1064</v>
      </c>
      <c r="F51" s="9">
        <v>175.5</v>
      </c>
      <c r="G51" s="11">
        <v>1.4655</v>
      </c>
      <c r="H51" s="13">
        <v>4312</v>
      </c>
      <c r="I51" s="13">
        <v>27769</v>
      </c>
      <c r="J51" s="10">
        <v>105</v>
      </c>
      <c r="K51" s="13">
        <v>55</v>
      </c>
      <c r="L51" s="17">
        <v>25.58</v>
      </c>
      <c r="M51" s="13">
        <v>0</v>
      </c>
    </row>
    <row r="52" spans="1:13" x14ac:dyDescent="0.25">
      <c r="A52" s="10">
        <v>51</v>
      </c>
      <c r="B52" s="10">
        <v>51</v>
      </c>
      <c r="C52" s="13">
        <v>909988</v>
      </c>
      <c r="D52" s="13">
        <v>909407</v>
      </c>
      <c r="E52" s="9">
        <v>1067.8</v>
      </c>
      <c r="F52" s="9">
        <v>179.2</v>
      </c>
      <c r="G52" s="11">
        <v>1.4653</v>
      </c>
      <c r="H52" s="13">
        <v>8883</v>
      </c>
      <c r="I52" s="13">
        <v>28179</v>
      </c>
      <c r="J52" s="10">
        <v>104</v>
      </c>
      <c r="K52" s="13">
        <v>25</v>
      </c>
      <c r="L52" s="17">
        <v>25.59</v>
      </c>
      <c r="M52" s="13">
        <v>0</v>
      </c>
    </row>
    <row r="53" spans="1:13" x14ac:dyDescent="0.25">
      <c r="A53" s="10">
        <v>52</v>
      </c>
      <c r="B53" s="10">
        <v>52</v>
      </c>
      <c r="C53" s="13">
        <v>911579</v>
      </c>
      <c r="D53" s="13">
        <v>911014</v>
      </c>
      <c r="E53" s="9">
        <v>1063.4000000000001</v>
      </c>
      <c r="F53" s="9">
        <v>174.5</v>
      </c>
      <c r="G53" s="11">
        <v>1.466</v>
      </c>
      <c r="H53" s="13">
        <v>4395</v>
      </c>
      <c r="I53" s="13">
        <v>29282</v>
      </c>
      <c r="J53" s="10">
        <v>106</v>
      </c>
      <c r="K53" s="13">
        <v>44</v>
      </c>
      <c r="L53" s="17">
        <v>25.58</v>
      </c>
      <c r="M53" s="13">
        <v>0</v>
      </c>
    </row>
    <row r="54" spans="1:13" x14ac:dyDescent="0.25">
      <c r="A54" s="10">
        <v>53</v>
      </c>
      <c r="B54" s="10">
        <v>53</v>
      </c>
      <c r="C54" s="13">
        <v>910976</v>
      </c>
      <c r="D54" s="13">
        <v>910425</v>
      </c>
      <c r="E54" s="9">
        <v>1065.0999999999999</v>
      </c>
      <c r="F54" s="9">
        <v>176.1</v>
      </c>
      <c r="G54" s="11">
        <v>1.4668000000000001</v>
      </c>
      <c r="H54" s="13">
        <v>4208</v>
      </c>
      <c r="I54" s="13">
        <v>28438</v>
      </c>
      <c r="J54" s="10">
        <v>104</v>
      </c>
      <c r="K54" s="13">
        <v>27</v>
      </c>
      <c r="L54" s="17">
        <v>25.59</v>
      </c>
      <c r="M54" s="13">
        <v>0</v>
      </c>
    </row>
    <row r="55" spans="1:13" x14ac:dyDescent="0.25">
      <c r="A55" s="10">
        <v>54</v>
      </c>
      <c r="B55" s="10">
        <v>54</v>
      </c>
      <c r="C55" s="13">
        <v>910921</v>
      </c>
      <c r="D55" s="13">
        <v>910289</v>
      </c>
      <c r="E55" s="9">
        <v>1065.7</v>
      </c>
      <c r="F55" s="9">
        <v>176.4</v>
      </c>
      <c r="G55" s="11">
        <v>1.4650000000000001</v>
      </c>
      <c r="H55" s="13">
        <v>5756</v>
      </c>
      <c r="I55" s="13">
        <v>28558</v>
      </c>
      <c r="J55" s="10">
        <v>109</v>
      </c>
      <c r="K55" s="13">
        <v>36</v>
      </c>
      <c r="L55" s="17">
        <v>25.59</v>
      </c>
      <c r="M55" s="13">
        <v>0</v>
      </c>
    </row>
    <row r="56" spans="1:13" x14ac:dyDescent="0.25">
      <c r="A56" s="10">
        <v>55</v>
      </c>
      <c r="B56" s="10">
        <v>55</v>
      </c>
      <c r="C56" s="13">
        <v>910046</v>
      </c>
      <c r="D56" s="13">
        <v>909493</v>
      </c>
      <c r="E56" s="9">
        <v>1064.4000000000001</v>
      </c>
      <c r="F56" s="9">
        <v>175</v>
      </c>
      <c r="G56" s="11">
        <v>1.4659</v>
      </c>
      <c r="H56" s="13">
        <v>5343</v>
      </c>
      <c r="I56" s="13">
        <v>27859</v>
      </c>
      <c r="J56" s="10">
        <v>106</v>
      </c>
      <c r="K56" s="13">
        <v>23</v>
      </c>
      <c r="L56" s="17">
        <v>25.59</v>
      </c>
      <c r="M56" s="13">
        <v>0</v>
      </c>
    </row>
    <row r="57" spans="1:13" x14ac:dyDescent="0.25">
      <c r="A57" s="10">
        <v>56</v>
      </c>
      <c r="B57" s="10">
        <v>56</v>
      </c>
      <c r="C57" s="13">
        <v>909851</v>
      </c>
      <c r="D57" s="13">
        <v>909307</v>
      </c>
      <c r="E57" s="9">
        <v>1066.5999999999999</v>
      </c>
      <c r="F57" s="9">
        <v>177.3</v>
      </c>
      <c r="G57" s="11">
        <v>1.4654</v>
      </c>
      <c r="H57" s="13">
        <v>3467</v>
      </c>
      <c r="I57" s="13">
        <v>28474</v>
      </c>
      <c r="J57" s="10">
        <v>104</v>
      </c>
      <c r="K57" s="13">
        <v>46</v>
      </c>
      <c r="L57" s="17">
        <v>25.59</v>
      </c>
      <c r="M57" s="13">
        <v>0</v>
      </c>
    </row>
    <row r="58" spans="1:13" x14ac:dyDescent="0.25">
      <c r="A58" s="10">
        <v>57</v>
      </c>
      <c r="B58" s="10">
        <v>57</v>
      </c>
      <c r="C58" s="13">
        <v>909482</v>
      </c>
      <c r="D58" s="13">
        <v>908928</v>
      </c>
      <c r="E58" s="9">
        <v>1062.0999999999999</v>
      </c>
      <c r="F58" s="9">
        <v>173</v>
      </c>
      <c r="G58" s="11">
        <v>1.4657</v>
      </c>
      <c r="H58" s="13">
        <v>2901</v>
      </c>
      <c r="I58" s="13">
        <v>27779</v>
      </c>
      <c r="J58" s="10">
        <v>109</v>
      </c>
      <c r="K58" s="13">
        <v>28</v>
      </c>
      <c r="L58" s="17">
        <v>25.58</v>
      </c>
      <c r="M58" s="13">
        <v>0</v>
      </c>
    </row>
    <row r="59" spans="1:13" x14ac:dyDescent="0.25">
      <c r="A59" s="10">
        <v>58</v>
      </c>
      <c r="B59" s="10">
        <v>58</v>
      </c>
      <c r="C59" s="13">
        <v>910831</v>
      </c>
      <c r="D59" s="13">
        <v>910177</v>
      </c>
      <c r="E59" s="9">
        <v>1062</v>
      </c>
      <c r="F59" s="9">
        <v>173.3</v>
      </c>
      <c r="G59" s="11">
        <v>1.4661</v>
      </c>
      <c r="H59" s="13">
        <v>2301</v>
      </c>
      <c r="I59" s="13">
        <v>28178</v>
      </c>
      <c r="J59" s="10">
        <v>107</v>
      </c>
      <c r="K59" s="13">
        <v>32</v>
      </c>
      <c r="L59" s="17">
        <v>25.57</v>
      </c>
      <c r="M59" s="13">
        <v>0</v>
      </c>
    </row>
    <row r="60" spans="1:13" x14ac:dyDescent="0.25">
      <c r="A60" s="10">
        <v>59</v>
      </c>
      <c r="B60" s="10">
        <v>59</v>
      </c>
      <c r="C60" s="13">
        <v>911826</v>
      </c>
      <c r="D60" s="13">
        <v>911278</v>
      </c>
      <c r="E60" s="9">
        <v>1065.9000000000001</v>
      </c>
      <c r="F60" s="9">
        <v>176.7</v>
      </c>
      <c r="G60" s="11">
        <v>1.4663999999999999</v>
      </c>
      <c r="H60" s="13">
        <v>5004</v>
      </c>
      <c r="I60" s="13">
        <v>28197</v>
      </c>
      <c r="J60" s="10">
        <v>107</v>
      </c>
      <c r="K60" s="13">
        <v>37</v>
      </c>
      <c r="L60" s="17">
        <v>25.59</v>
      </c>
      <c r="M60" s="13">
        <v>0</v>
      </c>
    </row>
    <row r="61" spans="1:13" x14ac:dyDescent="0.25">
      <c r="A61" s="10">
        <v>60</v>
      </c>
      <c r="B61" s="10">
        <v>60</v>
      </c>
      <c r="C61" s="13">
        <v>910372</v>
      </c>
      <c r="D61" s="13">
        <v>909827</v>
      </c>
      <c r="E61" s="9">
        <v>1064.8</v>
      </c>
      <c r="F61" s="9">
        <v>175.9</v>
      </c>
      <c r="G61" s="11">
        <v>1.466</v>
      </c>
      <c r="H61" s="13">
        <v>3341</v>
      </c>
      <c r="I61" s="13">
        <v>28651</v>
      </c>
      <c r="J61" s="10">
        <v>105</v>
      </c>
      <c r="K61" s="13">
        <v>32</v>
      </c>
      <c r="L61" s="17">
        <v>25.59</v>
      </c>
      <c r="M61" s="13">
        <v>0</v>
      </c>
    </row>
    <row r="62" spans="1:13" x14ac:dyDescent="0.25">
      <c r="A62" s="10">
        <v>61</v>
      </c>
      <c r="B62" s="10">
        <v>61</v>
      </c>
      <c r="C62" s="13">
        <v>909849</v>
      </c>
      <c r="D62" s="13">
        <v>909129</v>
      </c>
      <c r="E62" s="9">
        <v>1064.5</v>
      </c>
      <c r="F62" s="9">
        <v>175.2</v>
      </c>
      <c r="G62" s="11">
        <v>1.4655</v>
      </c>
      <c r="H62" s="13">
        <v>2886</v>
      </c>
      <c r="I62" s="13">
        <v>28217</v>
      </c>
      <c r="J62" s="10">
        <v>106</v>
      </c>
      <c r="K62" s="13">
        <v>53</v>
      </c>
      <c r="L62" s="17">
        <v>25.59</v>
      </c>
      <c r="M62" s="13">
        <v>0</v>
      </c>
    </row>
    <row r="63" spans="1:13" x14ac:dyDescent="0.25">
      <c r="A63" s="10">
        <v>62</v>
      </c>
      <c r="B63" s="10">
        <v>62</v>
      </c>
      <c r="C63" s="13">
        <v>911695</v>
      </c>
      <c r="D63" s="13">
        <v>911105</v>
      </c>
      <c r="E63" s="9">
        <v>1063.8</v>
      </c>
      <c r="F63" s="9">
        <v>174.7</v>
      </c>
      <c r="G63" s="11">
        <v>1.4658</v>
      </c>
      <c r="H63" s="13">
        <v>2107</v>
      </c>
      <c r="I63" s="13">
        <v>28141</v>
      </c>
      <c r="J63" s="10">
        <v>106</v>
      </c>
      <c r="K63" s="13">
        <v>47</v>
      </c>
      <c r="L63" s="17">
        <v>25.58</v>
      </c>
      <c r="M63" s="13">
        <v>0</v>
      </c>
    </row>
    <row r="64" spans="1:13" x14ac:dyDescent="0.25">
      <c r="A64" s="10">
        <v>63</v>
      </c>
      <c r="B64" s="10">
        <v>63</v>
      </c>
      <c r="C64" s="13">
        <v>911547</v>
      </c>
      <c r="D64" s="13">
        <v>910972</v>
      </c>
      <c r="E64" s="9">
        <v>1064.5</v>
      </c>
      <c r="F64" s="9">
        <v>175.4</v>
      </c>
      <c r="G64" s="11">
        <v>1.4656</v>
      </c>
      <c r="H64" s="13">
        <v>3377</v>
      </c>
      <c r="I64" s="13">
        <v>28008</v>
      </c>
      <c r="J64" s="10">
        <v>104</v>
      </c>
      <c r="K64" s="13">
        <v>25</v>
      </c>
      <c r="L64" s="17">
        <v>25.6</v>
      </c>
      <c r="M64" s="13">
        <v>0</v>
      </c>
    </row>
    <row r="65" spans="1:13" x14ac:dyDescent="0.25">
      <c r="A65" s="10">
        <v>64</v>
      </c>
      <c r="B65" s="10">
        <v>64</v>
      </c>
      <c r="C65" s="13">
        <v>909909</v>
      </c>
      <c r="D65" s="13">
        <v>909337</v>
      </c>
      <c r="E65" s="9">
        <v>1066.3</v>
      </c>
      <c r="F65" s="9">
        <v>177.5</v>
      </c>
      <c r="G65" s="11">
        <v>1.4648000000000001</v>
      </c>
      <c r="H65" s="13">
        <v>7665</v>
      </c>
      <c r="I65" s="13">
        <v>29127</v>
      </c>
      <c r="J65" s="10">
        <v>107</v>
      </c>
      <c r="K65" s="13">
        <v>43</v>
      </c>
      <c r="L65" s="17">
        <v>25.58</v>
      </c>
      <c r="M65" s="13">
        <v>0</v>
      </c>
    </row>
    <row r="66" spans="1:13" x14ac:dyDescent="0.25">
      <c r="A66" s="10">
        <v>65</v>
      </c>
      <c r="B66" s="10">
        <v>65</v>
      </c>
      <c r="C66" s="13">
        <v>910513</v>
      </c>
      <c r="D66" s="13">
        <v>909903</v>
      </c>
      <c r="E66" s="9">
        <v>1064.3</v>
      </c>
      <c r="F66" s="9">
        <v>175.6</v>
      </c>
      <c r="G66" s="11">
        <v>1.466</v>
      </c>
      <c r="H66" s="13">
        <v>3208</v>
      </c>
      <c r="I66" s="13">
        <v>28119</v>
      </c>
      <c r="J66" s="10">
        <v>105</v>
      </c>
      <c r="K66" s="13">
        <v>33</v>
      </c>
      <c r="L66" s="17">
        <v>25.59</v>
      </c>
      <c r="M66" s="13">
        <v>0</v>
      </c>
    </row>
    <row r="67" spans="1:13" x14ac:dyDescent="0.25">
      <c r="A67" s="10">
        <v>66</v>
      </c>
      <c r="B67" s="10">
        <v>66</v>
      </c>
      <c r="C67" s="13">
        <v>911087</v>
      </c>
      <c r="D67" s="13">
        <v>910524</v>
      </c>
      <c r="E67" s="9">
        <v>1066.3</v>
      </c>
      <c r="F67" s="9">
        <v>178.3</v>
      </c>
      <c r="G67" s="11">
        <v>1.4650000000000001</v>
      </c>
      <c r="H67" s="13">
        <v>6354</v>
      </c>
      <c r="I67" s="13">
        <v>28462</v>
      </c>
      <c r="J67" s="10">
        <v>103</v>
      </c>
      <c r="K67" s="13">
        <v>21</v>
      </c>
      <c r="L67" s="17">
        <v>25.6</v>
      </c>
      <c r="M67" s="13">
        <v>0</v>
      </c>
    </row>
    <row r="68" spans="1:13" x14ac:dyDescent="0.25">
      <c r="A68" s="10">
        <v>67</v>
      </c>
      <c r="B68" s="10">
        <v>67</v>
      </c>
      <c r="C68" s="13">
        <v>912063</v>
      </c>
      <c r="D68" s="13">
        <v>911436</v>
      </c>
      <c r="E68" s="9">
        <v>1063.3</v>
      </c>
      <c r="F68" s="9">
        <v>174.7</v>
      </c>
      <c r="G68" s="11">
        <v>1.4651000000000001</v>
      </c>
      <c r="H68" s="13">
        <v>3690</v>
      </c>
      <c r="I68" s="13">
        <v>28238</v>
      </c>
      <c r="J68" s="10">
        <v>105</v>
      </c>
      <c r="K68" s="13">
        <v>34</v>
      </c>
      <c r="L68" s="17">
        <v>25.58</v>
      </c>
      <c r="M68" s="13">
        <v>0</v>
      </c>
    </row>
    <row r="69" spans="1:13" x14ac:dyDescent="0.25">
      <c r="A69" s="10">
        <v>68</v>
      </c>
      <c r="B69" s="10">
        <v>68</v>
      </c>
      <c r="C69" s="13">
        <v>909687</v>
      </c>
      <c r="D69" s="13">
        <v>909116</v>
      </c>
      <c r="E69" s="9">
        <v>1063.2</v>
      </c>
      <c r="F69" s="9">
        <v>174.6</v>
      </c>
      <c r="G69" s="11">
        <v>1.4655</v>
      </c>
      <c r="H69" s="13">
        <v>1771</v>
      </c>
      <c r="I69" s="13">
        <v>28412</v>
      </c>
      <c r="J69" s="10">
        <v>107</v>
      </c>
      <c r="K69" s="13">
        <v>40</v>
      </c>
      <c r="L69" s="17">
        <v>25.58</v>
      </c>
      <c r="M69" s="13">
        <v>0</v>
      </c>
    </row>
    <row r="70" spans="1:13" x14ac:dyDescent="0.25">
      <c r="A70" s="10">
        <v>69</v>
      </c>
      <c r="B70" s="10">
        <v>69</v>
      </c>
      <c r="C70" s="13">
        <v>910646</v>
      </c>
      <c r="D70" s="13">
        <v>910060</v>
      </c>
      <c r="E70" s="9">
        <v>1066.3</v>
      </c>
      <c r="F70" s="9">
        <v>178.2</v>
      </c>
      <c r="G70" s="11">
        <v>1.4650000000000001</v>
      </c>
      <c r="H70" s="13">
        <v>4471</v>
      </c>
      <c r="I70" s="13">
        <v>27611</v>
      </c>
      <c r="J70" s="10">
        <v>106</v>
      </c>
      <c r="K70" s="13">
        <v>35</v>
      </c>
      <c r="L70" s="17">
        <v>25.59</v>
      </c>
      <c r="M70" s="13">
        <v>0</v>
      </c>
    </row>
    <row r="71" spans="1:13" x14ac:dyDescent="0.25">
      <c r="A71" s="10">
        <v>70</v>
      </c>
      <c r="B71" s="10">
        <v>70</v>
      </c>
      <c r="C71" s="13">
        <v>910561</v>
      </c>
      <c r="D71" s="13">
        <v>910005</v>
      </c>
      <c r="E71" s="9">
        <v>1062.2</v>
      </c>
      <c r="F71" s="9">
        <v>173.2</v>
      </c>
      <c r="G71" s="11">
        <v>1.4664999999999999</v>
      </c>
      <c r="H71" s="13">
        <v>3931</v>
      </c>
      <c r="I71" s="13">
        <v>28338</v>
      </c>
      <c r="J71" s="10">
        <v>105</v>
      </c>
      <c r="K71" s="13">
        <v>47</v>
      </c>
      <c r="L71" s="17">
        <v>25.57</v>
      </c>
      <c r="M71" s="13">
        <v>0</v>
      </c>
    </row>
    <row r="72" spans="1:13" x14ac:dyDescent="0.25">
      <c r="A72" s="10">
        <v>71</v>
      </c>
      <c r="B72" s="10">
        <v>71</v>
      </c>
      <c r="C72" s="13">
        <v>911836</v>
      </c>
      <c r="D72" s="13">
        <v>911256</v>
      </c>
      <c r="E72" s="9">
        <v>1063.0999999999999</v>
      </c>
      <c r="F72" s="9">
        <v>173.7</v>
      </c>
      <c r="G72" s="11">
        <v>1.4655</v>
      </c>
      <c r="H72" s="13">
        <v>5358</v>
      </c>
      <c r="I72" s="13">
        <v>28916</v>
      </c>
      <c r="J72" s="10">
        <v>106</v>
      </c>
      <c r="K72" s="13">
        <v>23</v>
      </c>
      <c r="L72" s="17">
        <v>25.58</v>
      </c>
      <c r="M72" s="13">
        <v>0</v>
      </c>
    </row>
    <row r="73" spans="1:13" x14ac:dyDescent="0.25">
      <c r="A73" s="10">
        <v>72</v>
      </c>
      <c r="B73" s="10">
        <v>72</v>
      </c>
      <c r="C73" s="13">
        <v>910457</v>
      </c>
      <c r="D73" s="13">
        <v>909815</v>
      </c>
      <c r="E73" s="9">
        <v>1064.8</v>
      </c>
      <c r="F73" s="9">
        <v>176.4</v>
      </c>
      <c r="G73" s="11">
        <v>1.4653</v>
      </c>
      <c r="H73" s="13">
        <v>3100</v>
      </c>
      <c r="I73" s="13">
        <v>27875</v>
      </c>
      <c r="J73" s="10">
        <v>106</v>
      </c>
      <c r="K73" s="13">
        <v>32</v>
      </c>
      <c r="L73" s="17">
        <v>25.59</v>
      </c>
      <c r="M73" s="13">
        <v>0</v>
      </c>
    </row>
    <row r="74" spans="1:13" x14ac:dyDescent="0.25">
      <c r="A74" s="10">
        <v>73</v>
      </c>
      <c r="B74" s="10">
        <v>73</v>
      </c>
      <c r="C74" s="13">
        <v>909711</v>
      </c>
      <c r="D74" s="13">
        <v>909159</v>
      </c>
      <c r="E74" s="9">
        <v>1066.7</v>
      </c>
      <c r="F74" s="9">
        <v>178.3</v>
      </c>
      <c r="G74" s="11">
        <v>1.4663999999999999</v>
      </c>
      <c r="H74" s="13">
        <v>11045</v>
      </c>
      <c r="I74" s="13">
        <v>28681</v>
      </c>
      <c r="J74" s="10">
        <v>107</v>
      </c>
      <c r="K74" s="13">
        <v>38</v>
      </c>
      <c r="L74" s="17">
        <v>25.58</v>
      </c>
      <c r="M74" s="13">
        <v>0</v>
      </c>
    </row>
    <row r="75" spans="1:13" x14ac:dyDescent="0.25">
      <c r="A75" s="10">
        <v>74</v>
      </c>
      <c r="B75" s="10">
        <v>74</v>
      </c>
      <c r="C75" s="13">
        <v>911446</v>
      </c>
      <c r="D75" s="13">
        <v>910858</v>
      </c>
      <c r="E75" s="9">
        <v>1065.5999999999999</v>
      </c>
      <c r="F75" s="9">
        <v>176.2</v>
      </c>
      <c r="G75" s="11">
        <v>1.466</v>
      </c>
      <c r="H75" s="13">
        <v>3879</v>
      </c>
      <c r="I75" s="13">
        <v>28501</v>
      </c>
      <c r="J75" s="10">
        <v>107</v>
      </c>
      <c r="K75" s="13">
        <v>40</v>
      </c>
      <c r="L75" s="17">
        <v>25.59</v>
      </c>
      <c r="M75" s="13">
        <v>0</v>
      </c>
    </row>
    <row r="76" spans="1:13" x14ac:dyDescent="0.25">
      <c r="A76" s="10">
        <v>75</v>
      </c>
      <c r="B76" s="10">
        <v>75</v>
      </c>
      <c r="C76" s="13">
        <v>911169</v>
      </c>
      <c r="D76" s="13">
        <v>910627</v>
      </c>
      <c r="E76" s="9">
        <v>1067</v>
      </c>
      <c r="F76" s="9">
        <v>178</v>
      </c>
      <c r="G76" s="11">
        <v>1.4656</v>
      </c>
      <c r="H76" s="13">
        <v>7473</v>
      </c>
      <c r="I76" s="13">
        <v>28578</v>
      </c>
      <c r="J76" s="10">
        <v>107</v>
      </c>
      <c r="K76" s="13">
        <v>35</v>
      </c>
      <c r="L76" s="17">
        <v>25.6</v>
      </c>
      <c r="M76" s="13">
        <v>0</v>
      </c>
    </row>
    <row r="77" spans="1:13" x14ac:dyDescent="0.25">
      <c r="A77" s="10">
        <v>76</v>
      </c>
      <c r="B77" s="10">
        <v>76</v>
      </c>
      <c r="C77" s="13">
        <v>909961</v>
      </c>
      <c r="D77" s="13">
        <v>909400</v>
      </c>
      <c r="E77" s="9">
        <v>1062.8</v>
      </c>
      <c r="F77" s="9">
        <v>174</v>
      </c>
      <c r="G77" s="11">
        <v>1.4654</v>
      </c>
      <c r="H77" s="13">
        <v>4658</v>
      </c>
      <c r="I77" s="13">
        <v>28007</v>
      </c>
      <c r="J77" s="10">
        <v>107</v>
      </c>
      <c r="K77" s="13">
        <v>42</v>
      </c>
      <c r="L77" s="17">
        <v>25.58</v>
      </c>
      <c r="M77" s="13">
        <v>0</v>
      </c>
    </row>
    <row r="78" spans="1:13" x14ac:dyDescent="0.25">
      <c r="A78" s="10">
        <v>77</v>
      </c>
      <c r="B78" s="10">
        <v>77</v>
      </c>
      <c r="C78" s="13">
        <v>911714</v>
      </c>
      <c r="D78" s="13">
        <v>911118</v>
      </c>
      <c r="E78" s="9">
        <v>1064.7</v>
      </c>
      <c r="F78" s="9">
        <v>175.6</v>
      </c>
      <c r="G78" s="11">
        <v>1.4668000000000001</v>
      </c>
      <c r="H78" s="13">
        <v>3537</v>
      </c>
      <c r="I78" s="13">
        <v>28235</v>
      </c>
      <c r="J78" s="10">
        <v>105</v>
      </c>
      <c r="K78" s="13">
        <v>28</v>
      </c>
      <c r="L78" s="17">
        <v>25.59</v>
      </c>
      <c r="M78" s="13">
        <v>0</v>
      </c>
    </row>
    <row r="79" spans="1:13" x14ac:dyDescent="0.25">
      <c r="A79" s="10">
        <v>78</v>
      </c>
      <c r="B79" s="10">
        <v>78</v>
      </c>
      <c r="C79" s="13">
        <v>910954</v>
      </c>
      <c r="D79" s="13">
        <v>910413</v>
      </c>
      <c r="E79" s="9">
        <v>1065.4000000000001</v>
      </c>
      <c r="F79" s="9">
        <v>176.6</v>
      </c>
      <c r="G79" s="11">
        <v>1.4638</v>
      </c>
      <c r="H79" s="13">
        <v>2721</v>
      </c>
      <c r="I79" s="13">
        <v>28007</v>
      </c>
      <c r="J79" s="10">
        <v>104</v>
      </c>
      <c r="K79" s="13">
        <v>35</v>
      </c>
      <c r="L79" s="17">
        <v>25.59</v>
      </c>
      <c r="M79" s="13">
        <v>0</v>
      </c>
    </row>
    <row r="80" spans="1:13" x14ac:dyDescent="0.25">
      <c r="A80" s="10">
        <v>79</v>
      </c>
      <c r="B80" s="10">
        <v>79</v>
      </c>
      <c r="C80" s="13">
        <v>912127</v>
      </c>
      <c r="D80" s="13">
        <v>911485</v>
      </c>
      <c r="E80" s="9">
        <v>1064.8</v>
      </c>
      <c r="F80" s="9">
        <v>176</v>
      </c>
      <c r="G80" s="11">
        <v>1.4658</v>
      </c>
      <c r="H80" s="13">
        <v>8164</v>
      </c>
      <c r="I80" s="13">
        <v>27832</v>
      </c>
      <c r="J80" s="10">
        <v>107</v>
      </c>
      <c r="K80" s="13">
        <v>47</v>
      </c>
      <c r="L80" s="17">
        <v>25.58</v>
      </c>
      <c r="M80" s="13">
        <v>0</v>
      </c>
    </row>
    <row r="81" spans="1:13" x14ac:dyDescent="0.25">
      <c r="A81" s="10">
        <v>80</v>
      </c>
      <c r="B81" s="10">
        <v>80</v>
      </c>
      <c r="C81" s="13">
        <v>911498</v>
      </c>
      <c r="D81" s="13">
        <v>910875</v>
      </c>
      <c r="E81" s="9">
        <v>1065.8</v>
      </c>
      <c r="F81" s="9">
        <v>176.8</v>
      </c>
      <c r="G81" s="11">
        <v>1.4663999999999999</v>
      </c>
      <c r="H81" s="13">
        <v>14373</v>
      </c>
      <c r="I81" s="13">
        <v>28357</v>
      </c>
      <c r="J81" s="10">
        <v>105</v>
      </c>
      <c r="K81" s="13">
        <v>52</v>
      </c>
      <c r="L81" s="17">
        <v>25.58</v>
      </c>
      <c r="M81" s="13">
        <v>0</v>
      </c>
    </row>
    <row r="82" spans="1:13" x14ac:dyDescent="0.25">
      <c r="A82" s="10">
        <v>81</v>
      </c>
      <c r="B82" s="10">
        <v>81</v>
      </c>
      <c r="C82" s="13">
        <v>912331</v>
      </c>
      <c r="D82" s="13">
        <v>911727</v>
      </c>
      <c r="E82" s="9">
        <v>1065</v>
      </c>
      <c r="F82" s="9">
        <v>175.8</v>
      </c>
      <c r="G82" s="11">
        <v>1.4654</v>
      </c>
      <c r="H82" s="13">
        <v>2652</v>
      </c>
      <c r="I82" s="13">
        <v>28575</v>
      </c>
      <c r="J82" s="10">
        <v>106</v>
      </c>
      <c r="K82" s="13">
        <v>39</v>
      </c>
      <c r="L82" s="17">
        <v>25.59</v>
      </c>
      <c r="M82" s="13">
        <v>0</v>
      </c>
    </row>
    <row r="83" spans="1:13" x14ac:dyDescent="0.25">
      <c r="A83" s="10">
        <v>82</v>
      </c>
      <c r="B83" s="10">
        <v>82</v>
      </c>
      <c r="C83" s="13">
        <v>911008</v>
      </c>
      <c r="D83" s="13">
        <v>910380</v>
      </c>
      <c r="E83" s="9">
        <v>1064.7</v>
      </c>
      <c r="F83" s="9">
        <v>176</v>
      </c>
      <c r="G83" s="11">
        <v>1.4659</v>
      </c>
      <c r="H83" s="13">
        <v>6081</v>
      </c>
      <c r="I83" s="13">
        <v>28084</v>
      </c>
      <c r="J83" s="10">
        <v>107</v>
      </c>
      <c r="K83" s="13">
        <v>36</v>
      </c>
      <c r="L83" s="17">
        <v>25.58</v>
      </c>
      <c r="M83" s="13">
        <v>0</v>
      </c>
    </row>
    <row r="84" spans="1:13" x14ac:dyDescent="0.25">
      <c r="A84" s="10">
        <v>83</v>
      </c>
      <c r="B84" s="10">
        <v>83</v>
      </c>
      <c r="C84" s="13">
        <v>912086</v>
      </c>
      <c r="D84" s="13">
        <v>911483</v>
      </c>
      <c r="E84" s="9">
        <v>1064.8</v>
      </c>
      <c r="F84" s="9">
        <v>175.1</v>
      </c>
      <c r="G84" s="11">
        <v>1.4659</v>
      </c>
      <c r="H84" s="13">
        <v>5018</v>
      </c>
      <c r="I84" s="13">
        <v>28338</v>
      </c>
      <c r="J84" s="10">
        <v>105</v>
      </c>
      <c r="K84" s="13">
        <v>35</v>
      </c>
      <c r="L84" s="17">
        <v>25.59</v>
      </c>
      <c r="M84" s="13">
        <v>0</v>
      </c>
    </row>
    <row r="85" spans="1:13" x14ac:dyDescent="0.25">
      <c r="A85" s="10">
        <v>84</v>
      </c>
      <c r="B85" s="10">
        <v>84</v>
      </c>
      <c r="C85" s="13">
        <v>910949</v>
      </c>
      <c r="D85" s="13">
        <v>910359</v>
      </c>
      <c r="E85" s="9">
        <v>1068.7</v>
      </c>
      <c r="F85" s="9">
        <v>180.2</v>
      </c>
      <c r="G85" s="11">
        <v>1.4657</v>
      </c>
      <c r="H85" s="13">
        <v>8943</v>
      </c>
      <c r="I85" s="13">
        <v>28017</v>
      </c>
      <c r="J85" s="10">
        <v>105</v>
      </c>
      <c r="K85" s="13">
        <v>38</v>
      </c>
      <c r="L85" s="17">
        <v>25.59</v>
      </c>
      <c r="M85" s="13">
        <v>0</v>
      </c>
    </row>
    <row r="86" spans="1:13" x14ac:dyDescent="0.25">
      <c r="A86" s="10">
        <v>85</v>
      </c>
      <c r="B86" s="10">
        <v>85</v>
      </c>
      <c r="C86" s="13">
        <v>912678</v>
      </c>
      <c r="D86" s="13">
        <v>912135</v>
      </c>
      <c r="E86" s="9">
        <v>1064.9000000000001</v>
      </c>
      <c r="F86" s="9">
        <v>176.1</v>
      </c>
      <c r="G86" s="11">
        <v>1.4665999999999999</v>
      </c>
      <c r="H86" s="13">
        <v>8206</v>
      </c>
      <c r="I86" s="13">
        <v>27948</v>
      </c>
      <c r="J86" s="10">
        <v>106</v>
      </c>
      <c r="K86" s="13">
        <v>34</v>
      </c>
      <c r="L86" s="17">
        <v>25.58</v>
      </c>
      <c r="M86" s="13">
        <v>0</v>
      </c>
    </row>
    <row r="87" spans="1:13" x14ac:dyDescent="0.25">
      <c r="A87" s="10">
        <v>86</v>
      </c>
      <c r="B87" s="10">
        <v>86</v>
      </c>
      <c r="C87" s="13">
        <v>911451</v>
      </c>
      <c r="D87" s="13">
        <v>910859</v>
      </c>
      <c r="E87" s="9">
        <v>1065</v>
      </c>
      <c r="F87" s="9">
        <v>176.7</v>
      </c>
      <c r="G87" s="11">
        <v>1.4656</v>
      </c>
      <c r="H87" s="13">
        <v>5500</v>
      </c>
      <c r="I87" s="13">
        <v>28125</v>
      </c>
      <c r="J87" s="10">
        <v>106</v>
      </c>
      <c r="K87" s="13">
        <v>31</v>
      </c>
      <c r="L87" s="17">
        <v>25.6</v>
      </c>
      <c r="M87" s="13">
        <v>0</v>
      </c>
    </row>
    <row r="88" spans="1:13" x14ac:dyDescent="0.25">
      <c r="A88" s="10">
        <v>87</v>
      </c>
      <c r="B88" s="10">
        <v>87</v>
      </c>
      <c r="C88" s="13">
        <v>911287</v>
      </c>
      <c r="D88" s="13">
        <v>910650</v>
      </c>
      <c r="E88" s="9">
        <v>1062.3</v>
      </c>
      <c r="F88" s="9">
        <v>174</v>
      </c>
      <c r="G88" s="11">
        <v>1.4641999999999999</v>
      </c>
      <c r="H88" s="13">
        <v>3042</v>
      </c>
      <c r="I88" s="13">
        <v>27919</v>
      </c>
      <c r="J88" s="10">
        <v>108</v>
      </c>
      <c r="K88" s="13">
        <v>34</v>
      </c>
      <c r="L88" s="17">
        <v>25.58</v>
      </c>
      <c r="M88" s="13">
        <v>0</v>
      </c>
    </row>
    <row r="89" spans="1:13" x14ac:dyDescent="0.25">
      <c r="A89" s="10">
        <v>88</v>
      </c>
      <c r="B89" s="10">
        <v>88</v>
      </c>
      <c r="C89" s="13">
        <v>911345</v>
      </c>
      <c r="D89" s="13">
        <v>910779</v>
      </c>
      <c r="E89" s="9">
        <v>1062.5</v>
      </c>
      <c r="F89" s="9">
        <v>173.2</v>
      </c>
      <c r="G89" s="11">
        <v>1.4664999999999999</v>
      </c>
      <c r="H89" s="13">
        <v>2008</v>
      </c>
      <c r="I89" s="13">
        <v>28117</v>
      </c>
      <c r="J89" s="10">
        <v>107</v>
      </c>
      <c r="K89" s="13">
        <v>38</v>
      </c>
      <c r="L89" s="17">
        <v>25.58</v>
      </c>
      <c r="M89" s="13">
        <v>0</v>
      </c>
    </row>
    <row r="90" spans="1:13" x14ac:dyDescent="0.25">
      <c r="A90" s="10">
        <v>89</v>
      </c>
      <c r="B90" s="10">
        <v>89</v>
      </c>
      <c r="C90" s="13">
        <v>911958</v>
      </c>
      <c r="D90" s="13">
        <v>911350</v>
      </c>
      <c r="E90" s="9">
        <v>1065.4000000000001</v>
      </c>
      <c r="F90" s="9">
        <v>175.8</v>
      </c>
      <c r="G90" s="11">
        <v>1.4666999999999999</v>
      </c>
      <c r="H90" s="13">
        <v>6718</v>
      </c>
      <c r="I90" s="13">
        <v>28247</v>
      </c>
      <c r="J90" s="10">
        <v>105</v>
      </c>
      <c r="K90" s="13">
        <v>36</v>
      </c>
      <c r="L90" s="17">
        <v>25.58</v>
      </c>
      <c r="M90" s="13">
        <v>0</v>
      </c>
    </row>
    <row r="91" spans="1:13" x14ac:dyDescent="0.25">
      <c r="A91" s="10">
        <v>90</v>
      </c>
      <c r="B91" s="10">
        <v>90</v>
      </c>
      <c r="C91" s="13">
        <v>912246</v>
      </c>
      <c r="D91" s="13">
        <v>911632</v>
      </c>
      <c r="E91" s="9">
        <v>1063.5</v>
      </c>
      <c r="F91" s="9">
        <v>174.2</v>
      </c>
      <c r="G91" s="11">
        <v>1.4661999999999999</v>
      </c>
      <c r="H91" s="13">
        <v>4228</v>
      </c>
      <c r="I91" s="13">
        <v>28405</v>
      </c>
      <c r="J91" s="10">
        <v>107</v>
      </c>
      <c r="K91" s="13">
        <v>38</v>
      </c>
      <c r="L91" s="17">
        <v>25.58</v>
      </c>
      <c r="M91" s="13">
        <v>0</v>
      </c>
    </row>
    <row r="92" spans="1:13" x14ac:dyDescent="0.25">
      <c r="A92" s="10">
        <v>91</v>
      </c>
      <c r="B92" s="10">
        <v>91</v>
      </c>
      <c r="C92" s="13">
        <v>912678</v>
      </c>
      <c r="D92" s="13">
        <v>912117</v>
      </c>
      <c r="E92" s="9">
        <v>1066.5</v>
      </c>
      <c r="F92" s="9">
        <v>178.4</v>
      </c>
      <c r="G92" s="11">
        <v>1.4645999999999999</v>
      </c>
      <c r="H92" s="13">
        <v>5349</v>
      </c>
      <c r="I92" s="13">
        <v>28724</v>
      </c>
      <c r="J92" s="10">
        <v>104</v>
      </c>
      <c r="K92" s="13">
        <v>33</v>
      </c>
      <c r="L92" s="17">
        <v>25.59</v>
      </c>
      <c r="M92" s="13">
        <v>0</v>
      </c>
    </row>
    <row r="93" spans="1:13" x14ac:dyDescent="0.25">
      <c r="A93" s="10">
        <v>92</v>
      </c>
      <c r="B93" s="10">
        <v>92</v>
      </c>
      <c r="C93" s="13">
        <v>910697</v>
      </c>
      <c r="D93" s="13">
        <v>910144</v>
      </c>
      <c r="E93" s="9">
        <v>1064.9000000000001</v>
      </c>
      <c r="F93" s="9">
        <v>176.9</v>
      </c>
      <c r="G93" s="11">
        <v>1.4654</v>
      </c>
      <c r="H93" s="13">
        <v>5166</v>
      </c>
      <c r="I93" s="13">
        <v>28571</v>
      </c>
      <c r="J93" s="10">
        <v>106</v>
      </c>
      <c r="K93" s="13">
        <v>38</v>
      </c>
      <c r="L93" s="17">
        <v>25.59</v>
      </c>
      <c r="M93" s="13">
        <v>0</v>
      </c>
    </row>
    <row r="94" spans="1:13" x14ac:dyDescent="0.25">
      <c r="A94" s="10">
        <v>93</v>
      </c>
      <c r="B94" s="10">
        <v>93</v>
      </c>
      <c r="C94" s="13">
        <v>910532</v>
      </c>
      <c r="D94" s="13">
        <v>910000</v>
      </c>
      <c r="E94" s="9">
        <v>1063.9000000000001</v>
      </c>
      <c r="F94" s="9">
        <v>174.9</v>
      </c>
      <c r="G94" s="11">
        <v>1.4655</v>
      </c>
      <c r="H94" s="13">
        <v>7999</v>
      </c>
      <c r="I94" s="13">
        <v>29523</v>
      </c>
      <c r="J94" s="10">
        <v>106</v>
      </c>
      <c r="K94" s="13">
        <v>33</v>
      </c>
      <c r="L94" s="17">
        <v>25.57</v>
      </c>
      <c r="M94" s="13">
        <v>0</v>
      </c>
    </row>
    <row r="95" spans="1:13" x14ac:dyDescent="0.25">
      <c r="A95" s="10">
        <v>94</v>
      </c>
      <c r="B95" s="10">
        <v>94</v>
      </c>
      <c r="C95" s="13">
        <v>911238</v>
      </c>
      <c r="D95" s="13">
        <v>910684</v>
      </c>
      <c r="E95" s="9">
        <v>1061.5</v>
      </c>
      <c r="F95" s="9">
        <v>173.5</v>
      </c>
      <c r="G95" s="11">
        <v>1.4654</v>
      </c>
      <c r="H95" s="13">
        <v>2213</v>
      </c>
      <c r="I95" s="13">
        <v>28298</v>
      </c>
      <c r="J95" s="10">
        <v>106</v>
      </c>
      <c r="K95" s="13">
        <v>39</v>
      </c>
      <c r="L95" s="17">
        <v>25.58</v>
      </c>
      <c r="M95" s="13">
        <v>0</v>
      </c>
    </row>
    <row r="96" spans="1:13" x14ac:dyDescent="0.25">
      <c r="A96" s="10">
        <v>95</v>
      </c>
      <c r="B96" s="10">
        <v>95</v>
      </c>
      <c r="C96" s="13">
        <v>911346</v>
      </c>
      <c r="D96" s="13">
        <v>910749</v>
      </c>
      <c r="E96" s="9">
        <v>1063</v>
      </c>
      <c r="F96" s="9">
        <v>174</v>
      </c>
      <c r="G96" s="11">
        <v>1.4664999999999999</v>
      </c>
      <c r="H96" s="13">
        <v>5897</v>
      </c>
      <c r="I96" s="13">
        <v>28246</v>
      </c>
      <c r="J96" s="10">
        <v>106</v>
      </c>
      <c r="K96" s="13">
        <v>48</v>
      </c>
      <c r="L96" s="17">
        <v>25.57</v>
      </c>
      <c r="M96" s="13">
        <v>0</v>
      </c>
    </row>
    <row r="97" spans="1:13" x14ac:dyDescent="0.25">
      <c r="A97" s="10">
        <v>96</v>
      </c>
      <c r="B97" s="10">
        <v>96</v>
      </c>
      <c r="C97" s="13">
        <v>912272</v>
      </c>
      <c r="D97" s="13">
        <v>911762</v>
      </c>
      <c r="E97" s="9">
        <v>1069.3</v>
      </c>
      <c r="F97" s="9">
        <v>180.5</v>
      </c>
      <c r="G97" s="11">
        <v>1.4654</v>
      </c>
      <c r="H97" s="13">
        <v>10284</v>
      </c>
      <c r="I97" s="13">
        <v>28428</v>
      </c>
      <c r="J97" s="10">
        <v>107</v>
      </c>
      <c r="K97" s="13">
        <v>25</v>
      </c>
      <c r="L97" s="17">
        <v>25.59</v>
      </c>
      <c r="M97" s="13">
        <v>0</v>
      </c>
    </row>
    <row r="98" spans="1:13" x14ac:dyDescent="0.25">
      <c r="A98" s="10">
        <v>97</v>
      </c>
      <c r="B98" s="10">
        <v>97</v>
      </c>
      <c r="C98" s="13">
        <v>909852</v>
      </c>
      <c r="D98" s="13">
        <v>909349</v>
      </c>
      <c r="E98" s="9">
        <v>1065.2</v>
      </c>
      <c r="F98" s="9">
        <v>175.6</v>
      </c>
      <c r="G98" s="11">
        <v>1.4663999999999999</v>
      </c>
      <c r="H98" s="13">
        <v>5938</v>
      </c>
      <c r="I98" s="13">
        <v>28233</v>
      </c>
      <c r="J98" s="10">
        <v>107</v>
      </c>
      <c r="K98" s="13">
        <v>51</v>
      </c>
      <c r="L98" s="17">
        <v>25.58</v>
      </c>
      <c r="M98" s="13">
        <v>0</v>
      </c>
    </row>
    <row r="99" spans="1:13" x14ac:dyDescent="0.25">
      <c r="A99" s="10">
        <v>98</v>
      </c>
      <c r="B99" s="10">
        <v>98</v>
      </c>
      <c r="C99" s="13">
        <v>911786</v>
      </c>
      <c r="D99" s="13">
        <v>911133</v>
      </c>
      <c r="E99" s="9">
        <v>1063.5999999999999</v>
      </c>
      <c r="F99" s="9">
        <v>174.9</v>
      </c>
      <c r="G99" s="11">
        <v>1.4655</v>
      </c>
      <c r="H99" s="13">
        <v>3734</v>
      </c>
      <c r="I99" s="13">
        <v>28490</v>
      </c>
      <c r="J99" s="10">
        <v>107</v>
      </c>
      <c r="K99" s="13">
        <v>49</v>
      </c>
      <c r="L99" s="17">
        <v>25.58</v>
      </c>
      <c r="M99" s="13">
        <v>0</v>
      </c>
    </row>
    <row r="100" spans="1:13" x14ac:dyDescent="0.25">
      <c r="A100" s="10">
        <v>99</v>
      </c>
      <c r="B100" s="10">
        <v>99</v>
      </c>
      <c r="C100" s="13">
        <v>910333</v>
      </c>
      <c r="D100" s="13">
        <v>909741</v>
      </c>
      <c r="E100" s="9">
        <v>1063.0999999999999</v>
      </c>
      <c r="F100" s="9">
        <v>173.8</v>
      </c>
      <c r="G100" s="11">
        <v>1.466</v>
      </c>
      <c r="H100" s="13">
        <v>2060</v>
      </c>
      <c r="I100" s="13">
        <v>27946</v>
      </c>
      <c r="J100" s="10">
        <v>106</v>
      </c>
      <c r="K100" s="13">
        <v>42</v>
      </c>
      <c r="L100" s="17">
        <v>25.57</v>
      </c>
      <c r="M100" s="13">
        <v>0</v>
      </c>
    </row>
    <row r="101" spans="1:13" x14ac:dyDescent="0.25">
      <c r="A101" s="10">
        <v>100</v>
      </c>
      <c r="B101" s="10">
        <v>100</v>
      </c>
      <c r="C101" s="13">
        <v>911048</v>
      </c>
      <c r="D101" s="13">
        <v>910503</v>
      </c>
      <c r="E101" s="9">
        <v>1066.8</v>
      </c>
      <c r="F101" s="9">
        <v>177.9</v>
      </c>
      <c r="G101" s="11">
        <v>1.4657</v>
      </c>
      <c r="H101" s="13">
        <v>4124</v>
      </c>
      <c r="I101" s="13">
        <v>28260</v>
      </c>
      <c r="J101" s="10">
        <v>108</v>
      </c>
      <c r="K101" s="13">
        <v>39</v>
      </c>
      <c r="L101" s="17">
        <v>25.6</v>
      </c>
      <c r="M101" s="13">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1"/>
  <sheetViews>
    <sheetView workbookViewId="0">
      <pane ySplit="1" topLeftCell="A2" activePane="bottomLeft" state="frozen"/>
      <selection pane="bottomLeft"/>
    </sheetView>
  </sheetViews>
  <sheetFormatPr baseColWidth="10" defaultColWidth="9.140625" defaultRowHeight="15" x14ac:dyDescent="0.25"/>
  <cols>
    <col min="1" max="13" width="15" customWidth="1"/>
  </cols>
  <sheetData>
    <row r="1" spans="1:13" ht="45" customHeight="1" x14ac:dyDescent="0.25">
      <c r="A1" s="7" t="s">
        <v>5</v>
      </c>
      <c r="B1" s="7" t="s">
        <v>159</v>
      </c>
      <c r="C1" s="7" t="s">
        <v>160</v>
      </c>
      <c r="D1" s="7" t="s">
        <v>161</v>
      </c>
      <c r="E1" s="7" t="s">
        <v>31</v>
      </c>
      <c r="F1" s="7" t="s">
        <v>48</v>
      </c>
      <c r="G1" s="7" t="s">
        <v>162</v>
      </c>
      <c r="H1" s="7" t="s">
        <v>163</v>
      </c>
      <c r="I1" s="7" t="s">
        <v>164</v>
      </c>
      <c r="J1" s="7" t="s">
        <v>165</v>
      </c>
      <c r="K1" s="7" t="s">
        <v>166</v>
      </c>
      <c r="L1" s="7" t="s">
        <v>167</v>
      </c>
      <c r="M1" s="7" t="s">
        <v>168</v>
      </c>
    </row>
    <row r="2" spans="1:13" x14ac:dyDescent="0.25">
      <c r="A2" s="10">
        <v>1</v>
      </c>
      <c r="B2" s="10">
        <v>1</v>
      </c>
      <c r="C2" s="13">
        <v>911920</v>
      </c>
      <c r="D2" s="13">
        <v>911359</v>
      </c>
      <c r="E2" s="9">
        <v>1068.0999999999999</v>
      </c>
      <c r="F2" s="9">
        <v>178.5</v>
      </c>
      <c r="G2" s="11">
        <v>1.4662999999999999</v>
      </c>
      <c r="H2" s="13">
        <v>6999</v>
      </c>
      <c r="I2" s="13">
        <v>28661</v>
      </c>
      <c r="J2" s="10">
        <v>103</v>
      </c>
      <c r="K2" s="13">
        <v>40</v>
      </c>
      <c r="L2" s="17">
        <v>25.47</v>
      </c>
      <c r="M2" s="13">
        <v>0</v>
      </c>
    </row>
    <row r="3" spans="1:13" x14ac:dyDescent="0.25">
      <c r="A3" s="10">
        <v>2</v>
      </c>
      <c r="B3" s="10">
        <v>2</v>
      </c>
      <c r="C3" s="13">
        <v>911853</v>
      </c>
      <c r="D3" s="13">
        <v>911295</v>
      </c>
      <c r="E3" s="9">
        <v>1065.4000000000001</v>
      </c>
      <c r="F3" s="9">
        <v>175.9</v>
      </c>
      <c r="G3" s="11">
        <v>1.4661</v>
      </c>
      <c r="H3" s="13">
        <v>3486</v>
      </c>
      <c r="I3" s="13">
        <v>28413</v>
      </c>
      <c r="J3" s="10">
        <v>102</v>
      </c>
      <c r="K3" s="13">
        <v>37</v>
      </c>
      <c r="L3" s="17">
        <v>25.46</v>
      </c>
      <c r="M3" s="13">
        <v>0</v>
      </c>
    </row>
    <row r="4" spans="1:13" x14ac:dyDescent="0.25">
      <c r="A4" s="10">
        <v>3</v>
      </c>
      <c r="B4" s="10">
        <v>3</v>
      </c>
      <c r="C4" s="13">
        <v>909820</v>
      </c>
      <c r="D4" s="13">
        <v>909213</v>
      </c>
      <c r="E4" s="9">
        <v>1064.5999999999999</v>
      </c>
      <c r="F4" s="9">
        <v>175.5</v>
      </c>
      <c r="G4" s="11">
        <v>1.4657</v>
      </c>
      <c r="H4" s="13">
        <v>5048</v>
      </c>
      <c r="I4" s="13">
        <v>28706</v>
      </c>
      <c r="J4" s="10">
        <v>104</v>
      </c>
      <c r="K4" s="13">
        <v>56</v>
      </c>
      <c r="L4" s="17">
        <v>25.46</v>
      </c>
      <c r="M4" s="13">
        <v>0</v>
      </c>
    </row>
    <row r="5" spans="1:13" x14ac:dyDescent="0.25">
      <c r="A5" s="10">
        <v>4</v>
      </c>
      <c r="B5" s="10">
        <v>4</v>
      </c>
      <c r="C5" s="13">
        <v>910079</v>
      </c>
      <c r="D5" s="13">
        <v>909430</v>
      </c>
      <c r="E5" s="9">
        <v>1064.0999999999999</v>
      </c>
      <c r="F5" s="9">
        <v>174.6</v>
      </c>
      <c r="G5" s="11">
        <v>1.4654</v>
      </c>
      <c r="H5" s="13">
        <v>1552</v>
      </c>
      <c r="I5" s="13">
        <v>28160</v>
      </c>
      <c r="J5" s="10">
        <v>102</v>
      </c>
      <c r="K5" s="13">
        <v>35</v>
      </c>
      <c r="L5" s="17">
        <v>25.46</v>
      </c>
      <c r="M5" s="13">
        <v>0</v>
      </c>
    </row>
    <row r="6" spans="1:13" x14ac:dyDescent="0.25">
      <c r="A6" s="10">
        <v>5</v>
      </c>
      <c r="B6" s="10">
        <v>5</v>
      </c>
      <c r="C6" s="13">
        <v>911475</v>
      </c>
      <c r="D6" s="13">
        <v>910855</v>
      </c>
      <c r="E6" s="9">
        <v>1066</v>
      </c>
      <c r="F6" s="9">
        <v>177.5</v>
      </c>
      <c r="G6" s="11">
        <v>1.4658</v>
      </c>
      <c r="H6" s="13">
        <v>6845</v>
      </c>
      <c r="I6" s="13">
        <v>28379</v>
      </c>
      <c r="J6" s="10">
        <v>102</v>
      </c>
      <c r="K6" s="13">
        <v>35</v>
      </c>
      <c r="L6" s="17">
        <v>25.47</v>
      </c>
      <c r="M6" s="13">
        <v>0</v>
      </c>
    </row>
    <row r="7" spans="1:13" x14ac:dyDescent="0.25">
      <c r="A7" s="10">
        <v>6</v>
      </c>
      <c r="B7" s="10">
        <v>6</v>
      </c>
      <c r="C7" s="13">
        <v>911133</v>
      </c>
      <c r="D7" s="13">
        <v>910512</v>
      </c>
      <c r="E7" s="9">
        <v>1069.3</v>
      </c>
      <c r="F7" s="9">
        <v>180.6</v>
      </c>
      <c r="G7" s="11">
        <v>1.4651000000000001</v>
      </c>
      <c r="H7" s="13">
        <v>9538</v>
      </c>
      <c r="I7" s="13">
        <v>28752</v>
      </c>
      <c r="J7" s="10">
        <v>101</v>
      </c>
      <c r="K7" s="13">
        <v>42</v>
      </c>
      <c r="L7" s="17">
        <v>25.47</v>
      </c>
      <c r="M7" s="13">
        <v>0</v>
      </c>
    </row>
    <row r="8" spans="1:13" x14ac:dyDescent="0.25">
      <c r="A8" s="10">
        <v>7</v>
      </c>
      <c r="B8" s="10">
        <v>7</v>
      </c>
      <c r="C8" s="13">
        <v>911585</v>
      </c>
      <c r="D8" s="13">
        <v>910977</v>
      </c>
      <c r="E8" s="9">
        <v>1067.2</v>
      </c>
      <c r="F8" s="9">
        <v>177.6</v>
      </c>
      <c r="G8" s="11">
        <v>1.4656</v>
      </c>
      <c r="H8" s="13">
        <v>3937</v>
      </c>
      <c r="I8" s="13">
        <v>29025</v>
      </c>
      <c r="J8" s="10">
        <v>102</v>
      </c>
      <c r="K8" s="13">
        <v>40</v>
      </c>
      <c r="L8" s="17">
        <v>25.46</v>
      </c>
      <c r="M8" s="13">
        <v>0</v>
      </c>
    </row>
    <row r="9" spans="1:13" x14ac:dyDescent="0.25">
      <c r="A9" s="10">
        <v>8</v>
      </c>
      <c r="B9" s="10">
        <v>8</v>
      </c>
      <c r="C9" s="13">
        <v>910743</v>
      </c>
      <c r="D9" s="13">
        <v>910149</v>
      </c>
      <c r="E9" s="9">
        <v>1062.5</v>
      </c>
      <c r="F9" s="9">
        <v>174.5</v>
      </c>
      <c r="G9" s="11">
        <v>1.4655</v>
      </c>
      <c r="H9" s="13">
        <v>4091</v>
      </c>
      <c r="I9" s="13">
        <v>28127</v>
      </c>
      <c r="J9" s="10">
        <v>102</v>
      </c>
      <c r="K9" s="13">
        <v>40</v>
      </c>
      <c r="L9" s="17">
        <v>25.46</v>
      </c>
      <c r="M9" s="13">
        <v>0</v>
      </c>
    </row>
    <row r="10" spans="1:13" x14ac:dyDescent="0.25">
      <c r="A10" s="10">
        <v>9</v>
      </c>
      <c r="B10" s="10">
        <v>9</v>
      </c>
      <c r="C10" s="13">
        <v>909688</v>
      </c>
      <c r="D10" s="13">
        <v>909080</v>
      </c>
      <c r="E10" s="9">
        <v>1064.4000000000001</v>
      </c>
      <c r="F10" s="9">
        <v>175.7</v>
      </c>
      <c r="G10" s="11">
        <v>1.466</v>
      </c>
      <c r="H10" s="13">
        <v>1879</v>
      </c>
      <c r="I10" s="13">
        <v>27995</v>
      </c>
      <c r="J10" s="10">
        <v>103</v>
      </c>
      <c r="K10" s="13">
        <v>33</v>
      </c>
      <c r="L10" s="17">
        <v>25.47</v>
      </c>
      <c r="M10" s="13">
        <v>0</v>
      </c>
    </row>
    <row r="11" spans="1:13" x14ac:dyDescent="0.25">
      <c r="A11" s="10">
        <v>10</v>
      </c>
      <c r="B11" s="10">
        <v>10</v>
      </c>
      <c r="C11" s="13">
        <v>912042</v>
      </c>
      <c r="D11" s="13">
        <v>911480</v>
      </c>
      <c r="E11" s="9">
        <v>1064.9000000000001</v>
      </c>
      <c r="F11" s="9">
        <v>176.1</v>
      </c>
      <c r="G11" s="11">
        <v>1.4650000000000001</v>
      </c>
      <c r="H11" s="13">
        <v>1663</v>
      </c>
      <c r="I11" s="13">
        <v>28332</v>
      </c>
      <c r="J11" s="10">
        <v>103</v>
      </c>
      <c r="K11" s="13">
        <v>41</v>
      </c>
      <c r="L11" s="17">
        <v>25.47</v>
      </c>
      <c r="M11" s="13">
        <v>0</v>
      </c>
    </row>
    <row r="12" spans="1:13" x14ac:dyDescent="0.25">
      <c r="A12" s="10">
        <v>11</v>
      </c>
      <c r="B12" s="10">
        <v>11</v>
      </c>
      <c r="C12" s="13">
        <v>910968</v>
      </c>
      <c r="D12" s="13">
        <v>910420</v>
      </c>
      <c r="E12" s="9">
        <v>1068.3</v>
      </c>
      <c r="F12" s="9">
        <v>180</v>
      </c>
      <c r="G12" s="11">
        <v>1.4655</v>
      </c>
      <c r="H12" s="13">
        <v>6017</v>
      </c>
      <c r="I12" s="13">
        <v>28946</v>
      </c>
      <c r="J12" s="10">
        <v>103</v>
      </c>
      <c r="K12" s="13">
        <v>30</v>
      </c>
      <c r="L12" s="17">
        <v>25.48</v>
      </c>
      <c r="M12" s="13">
        <v>0</v>
      </c>
    </row>
    <row r="13" spans="1:13" x14ac:dyDescent="0.25">
      <c r="A13" s="10">
        <v>12</v>
      </c>
      <c r="B13" s="10">
        <v>12</v>
      </c>
      <c r="C13" s="13">
        <v>911499</v>
      </c>
      <c r="D13" s="13">
        <v>910943</v>
      </c>
      <c r="E13" s="9">
        <v>1067.0999999999999</v>
      </c>
      <c r="F13" s="9">
        <v>177.4</v>
      </c>
      <c r="G13" s="11">
        <v>1.4661</v>
      </c>
      <c r="H13" s="13">
        <v>4470</v>
      </c>
      <c r="I13" s="13">
        <v>28565</v>
      </c>
      <c r="J13" s="10">
        <v>104</v>
      </c>
      <c r="K13" s="13">
        <v>52</v>
      </c>
      <c r="L13" s="17">
        <v>25.46</v>
      </c>
      <c r="M13" s="13">
        <v>0</v>
      </c>
    </row>
    <row r="14" spans="1:13" x14ac:dyDescent="0.25">
      <c r="A14" s="10">
        <v>13</v>
      </c>
      <c r="B14" s="10">
        <v>13</v>
      </c>
      <c r="C14" s="13">
        <v>911463</v>
      </c>
      <c r="D14" s="13">
        <v>910866</v>
      </c>
      <c r="E14" s="9">
        <v>1063.5</v>
      </c>
      <c r="F14" s="9">
        <v>174.7</v>
      </c>
      <c r="G14" s="11">
        <v>1.4664999999999999</v>
      </c>
      <c r="H14" s="13">
        <v>3122</v>
      </c>
      <c r="I14" s="13">
        <v>27961</v>
      </c>
      <c r="J14" s="10">
        <v>102</v>
      </c>
      <c r="K14" s="13">
        <v>35</v>
      </c>
      <c r="L14" s="17">
        <v>25.46</v>
      </c>
      <c r="M14" s="13">
        <v>0</v>
      </c>
    </row>
    <row r="15" spans="1:13" x14ac:dyDescent="0.25">
      <c r="A15" s="10">
        <v>14</v>
      </c>
      <c r="B15" s="10">
        <v>14</v>
      </c>
      <c r="C15" s="13">
        <v>910448</v>
      </c>
      <c r="D15" s="13">
        <v>909899</v>
      </c>
      <c r="E15" s="9">
        <v>1063.9000000000001</v>
      </c>
      <c r="F15" s="9">
        <v>174.9</v>
      </c>
      <c r="G15" s="11">
        <v>1.4653</v>
      </c>
      <c r="H15" s="13">
        <v>2739</v>
      </c>
      <c r="I15" s="13">
        <v>27605</v>
      </c>
      <c r="J15" s="10">
        <v>103</v>
      </c>
      <c r="K15" s="13">
        <v>28</v>
      </c>
      <c r="L15" s="17">
        <v>25.46</v>
      </c>
      <c r="M15" s="13">
        <v>0</v>
      </c>
    </row>
    <row r="16" spans="1:13" x14ac:dyDescent="0.25">
      <c r="A16" s="10">
        <v>15</v>
      </c>
      <c r="B16" s="10">
        <v>15</v>
      </c>
      <c r="C16" s="13">
        <v>910915</v>
      </c>
      <c r="D16" s="13">
        <v>910264</v>
      </c>
      <c r="E16" s="9">
        <v>1065</v>
      </c>
      <c r="F16" s="9">
        <v>176</v>
      </c>
      <c r="G16" s="11">
        <v>1.4641</v>
      </c>
      <c r="H16" s="13">
        <v>2644</v>
      </c>
      <c r="I16" s="13">
        <v>27815</v>
      </c>
      <c r="J16" s="10">
        <v>103</v>
      </c>
      <c r="K16" s="13">
        <v>44</v>
      </c>
      <c r="L16" s="17">
        <v>25.46</v>
      </c>
      <c r="M16" s="13">
        <v>0</v>
      </c>
    </row>
    <row r="17" spans="1:13" x14ac:dyDescent="0.25">
      <c r="A17" s="10">
        <v>16</v>
      </c>
      <c r="B17" s="10">
        <v>16</v>
      </c>
      <c r="C17" s="13">
        <v>911616</v>
      </c>
      <c r="D17" s="13">
        <v>911095</v>
      </c>
      <c r="E17" s="9">
        <v>1067.4000000000001</v>
      </c>
      <c r="F17" s="9">
        <v>178.5</v>
      </c>
      <c r="G17" s="11">
        <v>1.4668000000000001</v>
      </c>
      <c r="H17" s="13">
        <v>4897</v>
      </c>
      <c r="I17" s="13">
        <v>28879</v>
      </c>
      <c r="J17" s="10">
        <v>101</v>
      </c>
      <c r="K17" s="13">
        <v>48</v>
      </c>
      <c r="L17" s="17">
        <v>25.47</v>
      </c>
      <c r="M17" s="13">
        <v>0</v>
      </c>
    </row>
    <row r="18" spans="1:13" x14ac:dyDescent="0.25">
      <c r="A18" s="10">
        <v>17</v>
      </c>
      <c r="B18" s="10">
        <v>17</v>
      </c>
      <c r="C18" s="13">
        <v>910196</v>
      </c>
      <c r="D18" s="13">
        <v>909619</v>
      </c>
      <c r="E18" s="9">
        <v>1062.7</v>
      </c>
      <c r="F18" s="9">
        <v>174.2</v>
      </c>
      <c r="G18" s="11">
        <v>1.4648000000000001</v>
      </c>
      <c r="H18" s="13">
        <v>2711</v>
      </c>
      <c r="I18" s="13">
        <v>27816</v>
      </c>
      <c r="J18" s="10">
        <v>103</v>
      </c>
      <c r="K18" s="13">
        <v>28</v>
      </c>
      <c r="L18" s="17">
        <v>25.47</v>
      </c>
      <c r="M18" s="13">
        <v>0</v>
      </c>
    </row>
    <row r="19" spans="1:13" x14ac:dyDescent="0.25">
      <c r="A19" s="10">
        <v>18</v>
      </c>
      <c r="B19" s="10">
        <v>18</v>
      </c>
      <c r="C19" s="13">
        <v>910338</v>
      </c>
      <c r="D19" s="13">
        <v>909731</v>
      </c>
      <c r="E19" s="9">
        <v>1067.9000000000001</v>
      </c>
      <c r="F19" s="9">
        <v>178.7</v>
      </c>
      <c r="G19" s="11">
        <v>1.4655</v>
      </c>
      <c r="H19" s="13">
        <v>3905</v>
      </c>
      <c r="I19" s="13">
        <v>28452</v>
      </c>
      <c r="J19" s="10">
        <v>101</v>
      </c>
      <c r="K19" s="13">
        <v>52</v>
      </c>
      <c r="L19" s="17">
        <v>25.48</v>
      </c>
      <c r="M19" s="13">
        <v>0</v>
      </c>
    </row>
    <row r="20" spans="1:13" x14ac:dyDescent="0.25">
      <c r="A20" s="10">
        <v>19</v>
      </c>
      <c r="B20" s="10">
        <v>19</v>
      </c>
      <c r="C20" s="13">
        <v>910463</v>
      </c>
      <c r="D20" s="13">
        <v>909845</v>
      </c>
      <c r="E20" s="9">
        <v>1065.3</v>
      </c>
      <c r="F20" s="9">
        <v>176.6</v>
      </c>
      <c r="G20" s="11">
        <v>1.4659</v>
      </c>
      <c r="H20" s="13">
        <v>3342</v>
      </c>
      <c r="I20" s="13">
        <v>27980</v>
      </c>
      <c r="J20" s="10">
        <v>104</v>
      </c>
      <c r="K20" s="13">
        <v>34</v>
      </c>
      <c r="L20" s="17">
        <v>25.47</v>
      </c>
      <c r="M20" s="13">
        <v>0</v>
      </c>
    </row>
    <row r="21" spans="1:13" x14ac:dyDescent="0.25">
      <c r="A21" s="10">
        <v>20</v>
      </c>
      <c r="B21" s="10">
        <v>20</v>
      </c>
      <c r="C21" s="13">
        <v>909790</v>
      </c>
      <c r="D21" s="13">
        <v>909209</v>
      </c>
      <c r="E21" s="9">
        <v>1066.0999999999999</v>
      </c>
      <c r="F21" s="9">
        <v>176.6</v>
      </c>
      <c r="G21" s="11">
        <v>1.4662999999999999</v>
      </c>
      <c r="H21" s="13">
        <v>3026</v>
      </c>
      <c r="I21" s="13">
        <v>27984</v>
      </c>
      <c r="J21" s="10">
        <v>103</v>
      </c>
      <c r="K21" s="13">
        <v>44</v>
      </c>
      <c r="L21" s="17">
        <v>25.46</v>
      </c>
      <c r="M21" s="13">
        <v>0</v>
      </c>
    </row>
    <row r="22" spans="1:13" x14ac:dyDescent="0.25">
      <c r="A22" s="10">
        <v>21</v>
      </c>
      <c r="B22" s="10">
        <v>21</v>
      </c>
      <c r="C22" s="13">
        <v>909137</v>
      </c>
      <c r="D22" s="13">
        <v>908616</v>
      </c>
      <c r="E22" s="9">
        <v>1064.5999999999999</v>
      </c>
      <c r="F22" s="9">
        <v>175</v>
      </c>
      <c r="G22" s="11">
        <v>1.4661</v>
      </c>
      <c r="H22" s="13">
        <v>2934</v>
      </c>
      <c r="I22" s="13">
        <v>27811</v>
      </c>
      <c r="J22" s="10">
        <v>104</v>
      </c>
      <c r="K22" s="13">
        <v>46</v>
      </c>
      <c r="L22" s="17">
        <v>25.46</v>
      </c>
      <c r="M22" s="13">
        <v>0</v>
      </c>
    </row>
    <row r="23" spans="1:13" x14ac:dyDescent="0.25">
      <c r="A23" s="10">
        <v>22</v>
      </c>
      <c r="B23" s="10">
        <v>22</v>
      </c>
      <c r="C23" s="13">
        <v>910897</v>
      </c>
      <c r="D23" s="13">
        <v>910323</v>
      </c>
      <c r="E23" s="9">
        <v>1063.4000000000001</v>
      </c>
      <c r="F23" s="9">
        <v>174</v>
      </c>
      <c r="G23" s="11">
        <v>1.4661</v>
      </c>
      <c r="H23" s="13">
        <v>1200</v>
      </c>
      <c r="I23" s="13">
        <v>28287</v>
      </c>
      <c r="J23" s="10">
        <v>103</v>
      </c>
      <c r="K23" s="13">
        <v>41</v>
      </c>
      <c r="L23" s="17">
        <v>25.46</v>
      </c>
      <c r="M23" s="13">
        <v>0</v>
      </c>
    </row>
    <row r="24" spans="1:13" x14ac:dyDescent="0.25">
      <c r="A24" s="10">
        <v>23</v>
      </c>
      <c r="B24" s="10">
        <v>23</v>
      </c>
      <c r="C24" s="13">
        <v>912245</v>
      </c>
      <c r="D24" s="13">
        <v>911692</v>
      </c>
      <c r="E24" s="9">
        <v>1067.3</v>
      </c>
      <c r="F24" s="9">
        <v>178.6</v>
      </c>
      <c r="G24" s="11">
        <v>1.466</v>
      </c>
      <c r="H24" s="13">
        <v>4321</v>
      </c>
      <c r="I24" s="13">
        <v>28090</v>
      </c>
      <c r="J24" s="10">
        <v>102</v>
      </c>
      <c r="K24" s="13">
        <v>16</v>
      </c>
      <c r="L24" s="17">
        <v>25.48</v>
      </c>
      <c r="M24" s="13">
        <v>0</v>
      </c>
    </row>
    <row r="25" spans="1:13" x14ac:dyDescent="0.25">
      <c r="A25" s="10">
        <v>24</v>
      </c>
      <c r="B25" s="10">
        <v>24</v>
      </c>
      <c r="C25" s="13">
        <v>910819</v>
      </c>
      <c r="D25" s="13">
        <v>910233</v>
      </c>
      <c r="E25" s="9">
        <v>1070</v>
      </c>
      <c r="F25" s="9">
        <v>180.8</v>
      </c>
      <c r="G25" s="11">
        <v>1.4653</v>
      </c>
      <c r="H25" s="13">
        <v>9366</v>
      </c>
      <c r="I25" s="13">
        <v>28172</v>
      </c>
      <c r="J25" s="10">
        <v>102</v>
      </c>
      <c r="K25" s="13">
        <v>43</v>
      </c>
      <c r="L25" s="17">
        <v>25.48</v>
      </c>
      <c r="M25" s="13">
        <v>0</v>
      </c>
    </row>
    <row r="26" spans="1:13" x14ac:dyDescent="0.25">
      <c r="A26" s="10">
        <v>25</v>
      </c>
      <c r="B26" s="10">
        <v>25</v>
      </c>
      <c r="C26" s="13">
        <v>910866</v>
      </c>
      <c r="D26" s="13">
        <v>910275</v>
      </c>
      <c r="E26" s="9">
        <v>1062.5999999999999</v>
      </c>
      <c r="F26" s="9">
        <v>173.6</v>
      </c>
      <c r="G26" s="11">
        <v>1.4654</v>
      </c>
      <c r="H26" s="13">
        <v>2917</v>
      </c>
      <c r="I26" s="13">
        <v>27898</v>
      </c>
      <c r="J26" s="10">
        <v>105</v>
      </c>
      <c r="K26" s="13">
        <v>35</v>
      </c>
      <c r="L26" s="17">
        <v>25.45</v>
      </c>
      <c r="M26" s="13">
        <v>0</v>
      </c>
    </row>
    <row r="27" spans="1:13" x14ac:dyDescent="0.25">
      <c r="A27" s="10">
        <v>26</v>
      </c>
      <c r="B27" s="10">
        <v>26</v>
      </c>
      <c r="C27" s="13">
        <v>909810</v>
      </c>
      <c r="D27" s="13">
        <v>909206</v>
      </c>
      <c r="E27" s="9">
        <v>1066.9000000000001</v>
      </c>
      <c r="F27" s="9">
        <v>177.8</v>
      </c>
      <c r="G27" s="11">
        <v>1.4671000000000001</v>
      </c>
      <c r="H27" s="13">
        <v>2180</v>
      </c>
      <c r="I27" s="13">
        <v>28187</v>
      </c>
      <c r="J27" s="10">
        <v>103</v>
      </c>
      <c r="K27" s="13">
        <v>30</v>
      </c>
      <c r="L27" s="17">
        <v>25.47</v>
      </c>
      <c r="M27" s="13">
        <v>0</v>
      </c>
    </row>
    <row r="28" spans="1:13" x14ac:dyDescent="0.25">
      <c r="A28" s="10">
        <v>27</v>
      </c>
      <c r="B28" s="10">
        <v>27</v>
      </c>
      <c r="C28" s="13">
        <v>910292</v>
      </c>
      <c r="D28" s="13">
        <v>909691</v>
      </c>
      <c r="E28" s="9">
        <v>1063.9000000000001</v>
      </c>
      <c r="F28" s="9">
        <v>174.8</v>
      </c>
      <c r="G28" s="11">
        <v>1.466</v>
      </c>
      <c r="H28" s="13">
        <v>1583</v>
      </c>
      <c r="I28" s="13">
        <v>28289</v>
      </c>
      <c r="J28" s="10">
        <v>104</v>
      </c>
      <c r="K28" s="13">
        <v>37</v>
      </c>
      <c r="L28" s="17">
        <v>25.47</v>
      </c>
      <c r="M28" s="13">
        <v>0</v>
      </c>
    </row>
    <row r="29" spans="1:13" x14ac:dyDescent="0.25">
      <c r="A29" s="10">
        <v>28</v>
      </c>
      <c r="B29" s="10">
        <v>28</v>
      </c>
      <c r="C29" s="13">
        <v>913256</v>
      </c>
      <c r="D29" s="13">
        <v>912674</v>
      </c>
      <c r="E29" s="9">
        <v>1065.7</v>
      </c>
      <c r="F29" s="9">
        <v>176.5</v>
      </c>
      <c r="G29" s="11">
        <v>1.466</v>
      </c>
      <c r="H29" s="13">
        <v>5862</v>
      </c>
      <c r="I29" s="13">
        <v>28590</v>
      </c>
      <c r="J29" s="10">
        <v>104</v>
      </c>
      <c r="K29" s="13">
        <v>37</v>
      </c>
      <c r="L29" s="17">
        <v>25.46</v>
      </c>
      <c r="M29" s="13">
        <v>0</v>
      </c>
    </row>
    <row r="30" spans="1:13" x14ac:dyDescent="0.25">
      <c r="A30" s="10">
        <v>29</v>
      </c>
      <c r="B30" s="10">
        <v>29</v>
      </c>
      <c r="C30" s="13">
        <v>910159</v>
      </c>
      <c r="D30" s="13">
        <v>909547</v>
      </c>
      <c r="E30" s="9">
        <v>1064.0999999999999</v>
      </c>
      <c r="F30" s="9">
        <v>175.6</v>
      </c>
      <c r="G30" s="11">
        <v>1.4650000000000001</v>
      </c>
      <c r="H30" s="13">
        <v>2525</v>
      </c>
      <c r="I30" s="13">
        <v>28067</v>
      </c>
      <c r="J30" s="10">
        <v>101</v>
      </c>
      <c r="K30" s="13">
        <v>33</v>
      </c>
      <c r="L30" s="17">
        <v>25.46</v>
      </c>
      <c r="M30" s="13">
        <v>0</v>
      </c>
    </row>
    <row r="31" spans="1:13" x14ac:dyDescent="0.25">
      <c r="A31" s="10">
        <v>30</v>
      </c>
      <c r="B31" s="10">
        <v>30</v>
      </c>
      <c r="C31" s="13">
        <v>909486</v>
      </c>
      <c r="D31" s="13">
        <v>908953</v>
      </c>
      <c r="E31" s="9">
        <v>1062.9000000000001</v>
      </c>
      <c r="F31" s="9">
        <v>173.8</v>
      </c>
      <c r="G31" s="11">
        <v>1.4657</v>
      </c>
      <c r="H31" s="13">
        <v>1608</v>
      </c>
      <c r="I31" s="13">
        <v>28033</v>
      </c>
      <c r="J31" s="10">
        <v>105</v>
      </c>
      <c r="K31" s="13">
        <v>48</v>
      </c>
      <c r="L31" s="17">
        <v>25.45</v>
      </c>
      <c r="M31" s="13">
        <v>0</v>
      </c>
    </row>
    <row r="32" spans="1:13" x14ac:dyDescent="0.25">
      <c r="A32" s="10">
        <v>31</v>
      </c>
      <c r="B32" s="10">
        <v>31</v>
      </c>
      <c r="C32" s="13">
        <v>909955</v>
      </c>
      <c r="D32" s="13">
        <v>909406</v>
      </c>
      <c r="E32" s="9">
        <v>1066.5999999999999</v>
      </c>
      <c r="F32" s="9">
        <v>177.4</v>
      </c>
      <c r="G32" s="11">
        <v>1.4662999999999999</v>
      </c>
      <c r="H32" s="13">
        <v>2384</v>
      </c>
      <c r="I32" s="13">
        <v>27786</v>
      </c>
      <c r="J32" s="10">
        <v>102</v>
      </c>
      <c r="K32" s="13">
        <v>29</v>
      </c>
      <c r="L32" s="17">
        <v>25.47</v>
      </c>
      <c r="M32" s="13">
        <v>0</v>
      </c>
    </row>
    <row r="33" spans="1:13" x14ac:dyDescent="0.25">
      <c r="A33" s="10">
        <v>32</v>
      </c>
      <c r="B33" s="10">
        <v>32</v>
      </c>
      <c r="C33" s="13">
        <v>910313</v>
      </c>
      <c r="D33" s="13">
        <v>909723</v>
      </c>
      <c r="E33" s="9">
        <v>1065.2</v>
      </c>
      <c r="F33" s="9">
        <v>175.4</v>
      </c>
      <c r="G33" s="11">
        <v>1.4659</v>
      </c>
      <c r="H33" s="13">
        <v>3635</v>
      </c>
      <c r="I33" s="13">
        <v>28440</v>
      </c>
      <c r="J33" s="10">
        <v>103</v>
      </c>
      <c r="K33" s="13">
        <v>25</v>
      </c>
      <c r="L33" s="17">
        <v>25.46</v>
      </c>
      <c r="M33" s="13">
        <v>0</v>
      </c>
    </row>
    <row r="34" spans="1:13" x14ac:dyDescent="0.25">
      <c r="A34" s="10">
        <v>33</v>
      </c>
      <c r="B34" s="10">
        <v>33</v>
      </c>
      <c r="C34" s="13">
        <v>912646</v>
      </c>
      <c r="D34" s="13">
        <v>912080</v>
      </c>
      <c r="E34" s="9">
        <v>1064.3</v>
      </c>
      <c r="F34" s="9">
        <v>175.9</v>
      </c>
      <c r="G34" s="11">
        <v>1.4661999999999999</v>
      </c>
      <c r="H34" s="13">
        <v>2695</v>
      </c>
      <c r="I34" s="13">
        <v>27767</v>
      </c>
      <c r="J34" s="10">
        <v>104</v>
      </c>
      <c r="K34" s="13">
        <v>37</v>
      </c>
      <c r="L34" s="17">
        <v>25.46</v>
      </c>
      <c r="M34" s="13">
        <v>0</v>
      </c>
    </row>
    <row r="35" spans="1:13" x14ac:dyDescent="0.25">
      <c r="A35" s="10">
        <v>34</v>
      </c>
      <c r="B35" s="10">
        <v>34</v>
      </c>
      <c r="C35" s="13">
        <v>911666</v>
      </c>
      <c r="D35" s="13">
        <v>911046</v>
      </c>
      <c r="E35" s="9">
        <v>1064.2</v>
      </c>
      <c r="F35" s="9">
        <v>175.4</v>
      </c>
      <c r="G35" s="11">
        <v>1.4655</v>
      </c>
      <c r="H35" s="13">
        <v>3682</v>
      </c>
      <c r="I35" s="13">
        <v>28168</v>
      </c>
      <c r="J35" s="10">
        <v>103</v>
      </c>
      <c r="K35" s="13">
        <v>42</v>
      </c>
      <c r="L35" s="17">
        <v>25.46</v>
      </c>
      <c r="M35" s="13">
        <v>0</v>
      </c>
    </row>
    <row r="36" spans="1:13" x14ac:dyDescent="0.25">
      <c r="A36" s="10">
        <v>35</v>
      </c>
      <c r="B36" s="10">
        <v>35</v>
      </c>
      <c r="C36" s="13">
        <v>910515</v>
      </c>
      <c r="D36" s="13">
        <v>909984</v>
      </c>
      <c r="E36" s="9">
        <v>1068.5999999999999</v>
      </c>
      <c r="F36" s="9">
        <v>179.7</v>
      </c>
      <c r="G36" s="11">
        <v>1.4670000000000001</v>
      </c>
      <c r="H36" s="13">
        <v>5493</v>
      </c>
      <c r="I36" s="13">
        <v>28254</v>
      </c>
      <c r="J36" s="10">
        <v>102</v>
      </c>
      <c r="K36" s="13">
        <v>36</v>
      </c>
      <c r="L36" s="17">
        <v>25.48</v>
      </c>
      <c r="M36" s="13">
        <v>0</v>
      </c>
    </row>
    <row r="37" spans="1:13" x14ac:dyDescent="0.25">
      <c r="A37" s="10">
        <v>36</v>
      </c>
      <c r="B37" s="10">
        <v>36</v>
      </c>
      <c r="C37" s="13">
        <v>908814</v>
      </c>
      <c r="D37" s="13">
        <v>908252</v>
      </c>
      <c r="E37" s="9">
        <v>1066.5</v>
      </c>
      <c r="F37" s="9">
        <v>177.5</v>
      </c>
      <c r="G37" s="11">
        <v>1.4653</v>
      </c>
      <c r="H37" s="13">
        <v>2963</v>
      </c>
      <c r="I37" s="13">
        <v>28142</v>
      </c>
      <c r="J37" s="10">
        <v>103</v>
      </c>
      <c r="K37" s="13">
        <v>39</v>
      </c>
      <c r="L37" s="17">
        <v>25.48</v>
      </c>
      <c r="M37" s="13">
        <v>0</v>
      </c>
    </row>
    <row r="38" spans="1:13" x14ac:dyDescent="0.25">
      <c r="A38" s="10">
        <v>37</v>
      </c>
      <c r="B38" s="10">
        <v>37</v>
      </c>
      <c r="C38" s="13">
        <v>910996</v>
      </c>
      <c r="D38" s="13">
        <v>910437</v>
      </c>
      <c r="E38" s="9">
        <v>1066.5999999999999</v>
      </c>
      <c r="F38" s="9">
        <v>177.6</v>
      </c>
      <c r="G38" s="11">
        <v>1.4655</v>
      </c>
      <c r="H38" s="13">
        <v>7212</v>
      </c>
      <c r="I38" s="13">
        <v>28302</v>
      </c>
      <c r="J38" s="10">
        <v>104</v>
      </c>
      <c r="K38" s="13">
        <v>47</v>
      </c>
      <c r="L38" s="17">
        <v>25.46</v>
      </c>
      <c r="M38" s="13">
        <v>0</v>
      </c>
    </row>
    <row r="39" spans="1:13" x14ac:dyDescent="0.25">
      <c r="A39" s="10">
        <v>38</v>
      </c>
      <c r="B39" s="10">
        <v>38</v>
      </c>
      <c r="C39" s="13">
        <v>910727</v>
      </c>
      <c r="D39" s="13">
        <v>910151</v>
      </c>
      <c r="E39" s="9">
        <v>1064</v>
      </c>
      <c r="F39" s="9">
        <v>174.5</v>
      </c>
      <c r="G39" s="11">
        <v>1.4658</v>
      </c>
      <c r="H39" s="13">
        <v>5993</v>
      </c>
      <c r="I39" s="13">
        <v>27862</v>
      </c>
      <c r="J39" s="10">
        <v>106</v>
      </c>
      <c r="K39" s="13">
        <v>41</v>
      </c>
      <c r="L39" s="17">
        <v>25.46</v>
      </c>
      <c r="M39" s="13">
        <v>0</v>
      </c>
    </row>
    <row r="40" spans="1:13" x14ac:dyDescent="0.25">
      <c r="A40" s="10">
        <v>39</v>
      </c>
      <c r="B40" s="10">
        <v>39</v>
      </c>
      <c r="C40" s="13">
        <v>911335</v>
      </c>
      <c r="D40" s="13">
        <v>910740</v>
      </c>
      <c r="E40" s="9">
        <v>1067.5999999999999</v>
      </c>
      <c r="F40" s="9">
        <v>178</v>
      </c>
      <c r="G40" s="11">
        <v>1.4658</v>
      </c>
      <c r="H40" s="13">
        <v>5184</v>
      </c>
      <c r="I40" s="13">
        <v>28895</v>
      </c>
      <c r="J40" s="10">
        <v>102</v>
      </c>
      <c r="K40" s="13">
        <v>39</v>
      </c>
      <c r="L40" s="17">
        <v>25.47</v>
      </c>
      <c r="M40" s="13">
        <v>0</v>
      </c>
    </row>
    <row r="41" spans="1:13" x14ac:dyDescent="0.25">
      <c r="A41" s="10">
        <v>40</v>
      </c>
      <c r="B41" s="10">
        <v>40</v>
      </c>
      <c r="C41" s="13">
        <v>910492</v>
      </c>
      <c r="D41" s="13">
        <v>909919</v>
      </c>
      <c r="E41" s="9">
        <v>1062.3</v>
      </c>
      <c r="F41" s="9">
        <v>173.4</v>
      </c>
      <c r="G41" s="11">
        <v>1.4657</v>
      </c>
      <c r="H41" s="13">
        <v>1671</v>
      </c>
      <c r="I41" s="13">
        <v>28391</v>
      </c>
      <c r="J41" s="10">
        <v>103</v>
      </c>
      <c r="K41" s="13">
        <v>46</v>
      </c>
      <c r="L41" s="17">
        <v>25.46</v>
      </c>
      <c r="M41" s="13">
        <v>0</v>
      </c>
    </row>
    <row r="42" spans="1:13" x14ac:dyDescent="0.25">
      <c r="A42" s="10">
        <v>41</v>
      </c>
      <c r="B42" s="10">
        <v>41</v>
      </c>
      <c r="C42" s="13">
        <v>909771</v>
      </c>
      <c r="D42" s="13">
        <v>909159</v>
      </c>
      <c r="E42" s="9">
        <v>1068</v>
      </c>
      <c r="F42" s="9">
        <v>178.6</v>
      </c>
      <c r="G42" s="11">
        <v>1.4664999999999999</v>
      </c>
      <c r="H42" s="13">
        <v>2497</v>
      </c>
      <c r="I42" s="13">
        <v>28266</v>
      </c>
      <c r="J42" s="10">
        <v>103</v>
      </c>
      <c r="K42" s="13">
        <v>47</v>
      </c>
      <c r="L42" s="17">
        <v>25.47</v>
      </c>
      <c r="M42" s="13">
        <v>0</v>
      </c>
    </row>
    <row r="43" spans="1:13" x14ac:dyDescent="0.25">
      <c r="A43" s="10">
        <v>42</v>
      </c>
      <c r="B43" s="10">
        <v>42</v>
      </c>
      <c r="C43" s="13">
        <v>909706</v>
      </c>
      <c r="D43" s="13">
        <v>909135</v>
      </c>
      <c r="E43" s="9">
        <v>1064.2</v>
      </c>
      <c r="F43" s="9">
        <v>175.5</v>
      </c>
      <c r="G43" s="11">
        <v>1.4653</v>
      </c>
      <c r="H43" s="13">
        <v>3026</v>
      </c>
      <c r="I43" s="13">
        <v>27767</v>
      </c>
      <c r="J43" s="10">
        <v>103</v>
      </c>
      <c r="K43" s="13">
        <v>55</v>
      </c>
      <c r="L43" s="17">
        <v>25.46</v>
      </c>
      <c r="M43" s="13">
        <v>0</v>
      </c>
    </row>
    <row r="44" spans="1:13" x14ac:dyDescent="0.25">
      <c r="A44" s="10">
        <v>43</v>
      </c>
      <c r="B44" s="10">
        <v>43</v>
      </c>
      <c r="C44" s="13">
        <v>910340</v>
      </c>
      <c r="D44" s="13">
        <v>909767</v>
      </c>
      <c r="E44" s="9">
        <v>1061.7</v>
      </c>
      <c r="F44" s="9">
        <v>173.3</v>
      </c>
      <c r="G44" s="11">
        <v>1.4652000000000001</v>
      </c>
      <c r="H44" s="13">
        <v>2018</v>
      </c>
      <c r="I44" s="13">
        <v>28146</v>
      </c>
      <c r="J44" s="10">
        <v>103</v>
      </c>
      <c r="K44" s="13">
        <v>26</v>
      </c>
      <c r="L44" s="17">
        <v>25.46</v>
      </c>
      <c r="M44" s="13">
        <v>0</v>
      </c>
    </row>
    <row r="45" spans="1:13" x14ac:dyDescent="0.25">
      <c r="A45" s="10">
        <v>44</v>
      </c>
      <c r="B45" s="10">
        <v>44</v>
      </c>
      <c r="C45" s="13">
        <v>911109</v>
      </c>
      <c r="D45" s="13">
        <v>910477</v>
      </c>
      <c r="E45" s="9">
        <v>1067.5</v>
      </c>
      <c r="F45" s="9">
        <v>178.3</v>
      </c>
      <c r="G45" s="11">
        <v>1.4665999999999999</v>
      </c>
      <c r="H45" s="13">
        <v>4125</v>
      </c>
      <c r="I45" s="13">
        <v>27867</v>
      </c>
      <c r="J45" s="10">
        <v>105</v>
      </c>
      <c r="K45" s="13">
        <v>37</v>
      </c>
      <c r="L45" s="17">
        <v>25.47</v>
      </c>
      <c r="M45" s="13">
        <v>0</v>
      </c>
    </row>
    <row r="46" spans="1:13" x14ac:dyDescent="0.25">
      <c r="A46" s="10">
        <v>45</v>
      </c>
      <c r="B46" s="10">
        <v>45</v>
      </c>
      <c r="C46" s="13">
        <v>909652</v>
      </c>
      <c r="D46" s="13">
        <v>909040</v>
      </c>
      <c r="E46" s="9">
        <v>1065.9000000000001</v>
      </c>
      <c r="F46" s="9">
        <v>176.7</v>
      </c>
      <c r="G46" s="11">
        <v>1.4661999999999999</v>
      </c>
      <c r="H46" s="13">
        <v>5830</v>
      </c>
      <c r="I46" s="13">
        <v>28270</v>
      </c>
      <c r="J46" s="10">
        <v>102</v>
      </c>
      <c r="K46" s="13">
        <v>35</v>
      </c>
      <c r="L46" s="17">
        <v>25.47</v>
      </c>
      <c r="M46" s="13">
        <v>0</v>
      </c>
    </row>
    <row r="47" spans="1:13" x14ac:dyDescent="0.25">
      <c r="A47" s="10">
        <v>46</v>
      </c>
      <c r="B47" s="10">
        <v>46</v>
      </c>
      <c r="C47" s="13">
        <v>911247</v>
      </c>
      <c r="D47" s="13">
        <v>910636</v>
      </c>
      <c r="E47" s="9">
        <v>1065.5</v>
      </c>
      <c r="F47" s="9">
        <v>176.9</v>
      </c>
      <c r="G47" s="11">
        <v>1.4654</v>
      </c>
      <c r="H47" s="13">
        <v>2796</v>
      </c>
      <c r="I47" s="13">
        <v>28545</v>
      </c>
      <c r="J47" s="10">
        <v>102</v>
      </c>
      <c r="K47" s="13">
        <v>33</v>
      </c>
      <c r="L47" s="17">
        <v>25.47</v>
      </c>
      <c r="M47" s="13">
        <v>0</v>
      </c>
    </row>
    <row r="48" spans="1:13" x14ac:dyDescent="0.25">
      <c r="A48" s="10">
        <v>47</v>
      </c>
      <c r="B48" s="10">
        <v>47</v>
      </c>
      <c r="C48" s="13">
        <v>909898</v>
      </c>
      <c r="D48" s="13">
        <v>909384</v>
      </c>
      <c r="E48" s="9">
        <v>1065.3</v>
      </c>
      <c r="F48" s="9">
        <v>176.3</v>
      </c>
      <c r="G48" s="11">
        <v>1.4654</v>
      </c>
      <c r="H48" s="13">
        <v>3231</v>
      </c>
      <c r="I48" s="13">
        <v>27981</v>
      </c>
      <c r="J48" s="10">
        <v>103</v>
      </c>
      <c r="K48" s="13">
        <v>34</v>
      </c>
      <c r="L48" s="17">
        <v>25.47</v>
      </c>
      <c r="M48" s="13">
        <v>0</v>
      </c>
    </row>
    <row r="49" spans="1:13" x14ac:dyDescent="0.25">
      <c r="A49" s="10">
        <v>48</v>
      </c>
      <c r="B49" s="10">
        <v>48</v>
      </c>
      <c r="C49" s="13">
        <v>910557</v>
      </c>
      <c r="D49" s="13">
        <v>909976</v>
      </c>
      <c r="E49" s="9">
        <v>1066</v>
      </c>
      <c r="F49" s="9">
        <v>176.8</v>
      </c>
      <c r="G49" s="11">
        <v>1.4645999999999999</v>
      </c>
      <c r="H49" s="13">
        <v>8263</v>
      </c>
      <c r="I49" s="13">
        <v>28537</v>
      </c>
      <c r="J49" s="10">
        <v>101</v>
      </c>
      <c r="K49" s="13">
        <v>44</v>
      </c>
      <c r="L49" s="17">
        <v>25.46</v>
      </c>
      <c r="M49" s="13">
        <v>0</v>
      </c>
    </row>
    <row r="50" spans="1:13" x14ac:dyDescent="0.25">
      <c r="A50" s="10">
        <v>49</v>
      </c>
      <c r="B50" s="10">
        <v>49</v>
      </c>
      <c r="C50" s="13">
        <v>908790</v>
      </c>
      <c r="D50" s="13">
        <v>908219</v>
      </c>
      <c r="E50" s="9">
        <v>1064.7</v>
      </c>
      <c r="F50" s="9">
        <v>176.3</v>
      </c>
      <c r="G50" s="11">
        <v>1.4646999999999999</v>
      </c>
      <c r="H50" s="13">
        <v>4478</v>
      </c>
      <c r="I50" s="13">
        <v>28015</v>
      </c>
      <c r="J50" s="10">
        <v>105</v>
      </c>
      <c r="K50" s="13">
        <v>36</v>
      </c>
      <c r="L50" s="17">
        <v>25.47</v>
      </c>
      <c r="M50" s="13">
        <v>0</v>
      </c>
    </row>
    <row r="51" spans="1:13" x14ac:dyDescent="0.25">
      <c r="A51" s="10">
        <v>50</v>
      </c>
      <c r="B51" s="10">
        <v>50</v>
      </c>
      <c r="C51" s="13">
        <v>912978</v>
      </c>
      <c r="D51" s="13">
        <v>912369</v>
      </c>
      <c r="E51" s="9">
        <v>1066.3</v>
      </c>
      <c r="F51" s="9">
        <v>176.6</v>
      </c>
      <c r="G51" s="11">
        <v>1.466</v>
      </c>
      <c r="H51" s="13">
        <v>3084</v>
      </c>
      <c r="I51" s="13">
        <v>28237</v>
      </c>
      <c r="J51" s="10">
        <v>103</v>
      </c>
      <c r="K51" s="13">
        <v>31</v>
      </c>
      <c r="L51" s="17">
        <v>25.47</v>
      </c>
      <c r="M51" s="13">
        <v>0</v>
      </c>
    </row>
    <row r="52" spans="1:13" x14ac:dyDescent="0.25">
      <c r="A52" s="10">
        <v>51</v>
      </c>
      <c r="B52" s="10">
        <v>51</v>
      </c>
      <c r="C52" s="13">
        <v>910377</v>
      </c>
      <c r="D52" s="13">
        <v>909747</v>
      </c>
      <c r="E52" s="9">
        <v>1066.4000000000001</v>
      </c>
      <c r="F52" s="9">
        <v>177.3</v>
      </c>
      <c r="G52" s="11">
        <v>1.4652000000000001</v>
      </c>
      <c r="H52" s="13">
        <v>4812</v>
      </c>
      <c r="I52" s="13">
        <v>28589</v>
      </c>
      <c r="J52" s="10">
        <v>105</v>
      </c>
      <c r="K52" s="13">
        <v>57</v>
      </c>
      <c r="L52" s="17">
        <v>25.46</v>
      </c>
      <c r="M52" s="13">
        <v>0</v>
      </c>
    </row>
    <row r="53" spans="1:13" x14ac:dyDescent="0.25">
      <c r="A53" s="10">
        <v>52</v>
      </c>
      <c r="B53" s="10">
        <v>52</v>
      </c>
      <c r="C53" s="13">
        <v>911911</v>
      </c>
      <c r="D53" s="13">
        <v>911263</v>
      </c>
      <c r="E53" s="9">
        <v>1064.3</v>
      </c>
      <c r="F53" s="9">
        <v>175.8</v>
      </c>
      <c r="G53" s="11">
        <v>1.4651000000000001</v>
      </c>
      <c r="H53" s="13">
        <v>4962</v>
      </c>
      <c r="I53" s="13">
        <v>28194</v>
      </c>
      <c r="J53" s="10">
        <v>103</v>
      </c>
      <c r="K53" s="13">
        <v>39</v>
      </c>
      <c r="L53" s="17">
        <v>25.46</v>
      </c>
      <c r="M53" s="13">
        <v>0</v>
      </c>
    </row>
    <row r="54" spans="1:13" x14ac:dyDescent="0.25">
      <c r="A54" s="10">
        <v>53</v>
      </c>
      <c r="B54" s="10">
        <v>53</v>
      </c>
      <c r="C54" s="13">
        <v>910086</v>
      </c>
      <c r="D54" s="13">
        <v>909596</v>
      </c>
      <c r="E54" s="9">
        <v>1065.9000000000001</v>
      </c>
      <c r="F54" s="9">
        <v>177.3</v>
      </c>
      <c r="G54" s="11">
        <v>1.4661</v>
      </c>
      <c r="H54" s="13">
        <v>7619</v>
      </c>
      <c r="I54" s="13">
        <v>28193</v>
      </c>
      <c r="J54" s="10">
        <v>105</v>
      </c>
      <c r="K54" s="13">
        <v>52</v>
      </c>
      <c r="L54" s="17">
        <v>25.45</v>
      </c>
      <c r="M54" s="13">
        <v>0</v>
      </c>
    </row>
    <row r="55" spans="1:13" x14ac:dyDescent="0.25">
      <c r="A55" s="10">
        <v>54</v>
      </c>
      <c r="B55" s="10">
        <v>54</v>
      </c>
      <c r="C55" s="13">
        <v>910755</v>
      </c>
      <c r="D55" s="13">
        <v>910221</v>
      </c>
      <c r="E55" s="9">
        <v>1070.3</v>
      </c>
      <c r="F55" s="9">
        <v>180.8</v>
      </c>
      <c r="G55" s="11">
        <v>1.4657</v>
      </c>
      <c r="H55" s="13">
        <v>8362</v>
      </c>
      <c r="I55" s="13">
        <v>28618</v>
      </c>
      <c r="J55" s="10">
        <v>104</v>
      </c>
      <c r="K55" s="13">
        <v>32</v>
      </c>
      <c r="L55" s="17">
        <v>25.47</v>
      </c>
      <c r="M55" s="13">
        <v>0</v>
      </c>
    </row>
    <row r="56" spans="1:13" x14ac:dyDescent="0.25">
      <c r="A56" s="10">
        <v>55</v>
      </c>
      <c r="B56" s="10">
        <v>55</v>
      </c>
      <c r="C56" s="13">
        <v>910105</v>
      </c>
      <c r="D56" s="13">
        <v>909579</v>
      </c>
      <c r="E56" s="9">
        <v>1069.5999999999999</v>
      </c>
      <c r="F56" s="9">
        <v>181.1</v>
      </c>
      <c r="G56" s="11">
        <v>1.4648000000000001</v>
      </c>
      <c r="H56" s="13">
        <v>6939</v>
      </c>
      <c r="I56" s="13">
        <v>27850</v>
      </c>
      <c r="J56" s="10">
        <v>102</v>
      </c>
      <c r="K56" s="13">
        <v>36</v>
      </c>
      <c r="L56" s="17">
        <v>25.48</v>
      </c>
      <c r="M56" s="13">
        <v>0</v>
      </c>
    </row>
    <row r="57" spans="1:13" x14ac:dyDescent="0.25">
      <c r="A57" s="10">
        <v>56</v>
      </c>
      <c r="B57" s="10">
        <v>56</v>
      </c>
      <c r="C57" s="13">
        <v>910795</v>
      </c>
      <c r="D57" s="13">
        <v>910169</v>
      </c>
      <c r="E57" s="9">
        <v>1067.2</v>
      </c>
      <c r="F57" s="9">
        <v>177.7</v>
      </c>
      <c r="G57" s="11">
        <v>1.4664999999999999</v>
      </c>
      <c r="H57" s="13">
        <v>4226</v>
      </c>
      <c r="I57" s="13">
        <v>27967</v>
      </c>
      <c r="J57" s="10">
        <v>101</v>
      </c>
      <c r="K57" s="13">
        <v>31</v>
      </c>
      <c r="L57" s="17">
        <v>25.47</v>
      </c>
      <c r="M57" s="13">
        <v>0</v>
      </c>
    </row>
    <row r="58" spans="1:13" x14ac:dyDescent="0.25">
      <c r="A58" s="10">
        <v>57</v>
      </c>
      <c r="B58" s="10">
        <v>57</v>
      </c>
      <c r="C58" s="13">
        <v>909687</v>
      </c>
      <c r="D58" s="13">
        <v>909180</v>
      </c>
      <c r="E58" s="9">
        <v>1065</v>
      </c>
      <c r="F58" s="9">
        <v>176.2</v>
      </c>
      <c r="G58" s="11">
        <v>1.4661</v>
      </c>
      <c r="H58" s="13">
        <v>2594</v>
      </c>
      <c r="I58" s="13">
        <v>27648</v>
      </c>
      <c r="J58" s="10">
        <v>103</v>
      </c>
      <c r="K58" s="13">
        <v>41</v>
      </c>
      <c r="L58" s="17">
        <v>25.46</v>
      </c>
      <c r="M58" s="13">
        <v>0</v>
      </c>
    </row>
    <row r="59" spans="1:13" x14ac:dyDescent="0.25">
      <c r="A59" s="10">
        <v>58</v>
      </c>
      <c r="B59" s="10">
        <v>58</v>
      </c>
      <c r="C59" s="13">
        <v>910721</v>
      </c>
      <c r="D59" s="13">
        <v>910128</v>
      </c>
      <c r="E59" s="9">
        <v>1066.2</v>
      </c>
      <c r="F59" s="9">
        <v>177.3</v>
      </c>
      <c r="G59" s="11">
        <v>1.466</v>
      </c>
      <c r="H59" s="13">
        <v>6621</v>
      </c>
      <c r="I59" s="13">
        <v>28409</v>
      </c>
      <c r="J59" s="10">
        <v>104</v>
      </c>
      <c r="K59" s="13">
        <v>40</v>
      </c>
      <c r="L59" s="17">
        <v>25.47</v>
      </c>
      <c r="M59" s="13">
        <v>0</v>
      </c>
    </row>
    <row r="60" spans="1:13" x14ac:dyDescent="0.25">
      <c r="A60" s="10">
        <v>59</v>
      </c>
      <c r="B60" s="10">
        <v>59</v>
      </c>
      <c r="C60" s="13">
        <v>911612</v>
      </c>
      <c r="D60" s="13">
        <v>911045</v>
      </c>
      <c r="E60" s="9">
        <v>1067.2</v>
      </c>
      <c r="F60" s="9">
        <v>177.3</v>
      </c>
      <c r="G60" s="11">
        <v>1.4661</v>
      </c>
      <c r="H60" s="13">
        <v>4661</v>
      </c>
      <c r="I60" s="13">
        <v>27845</v>
      </c>
      <c r="J60" s="10">
        <v>100</v>
      </c>
      <c r="K60" s="13">
        <v>46</v>
      </c>
      <c r="L60" s="17">
        <v>25.47</v>
      </c>
      <c r="M60" s="13">
        <v>0</v>
      </c>
    </row>
    <row r="61" spans="1:13" x14ac:dyDescent="0.25">
      <c r="A61" s="10">
        <v>60</v>
      </c>
      <c r="B61" s="10">
        <v>60</v>
      </c>
      <c r="C61" s="13">
        <v>909706</v>
      </c>
      <c r="D61" s="13">
        <v>909134</v>
      </c>
      <c r="E61" s="9">
        <v>1065.3</v>
      </c>
      <c r="F61" s="9">
        <v>176.6</v>
      </c>
      <c r="G61" s="11">
        <v>1.4653</v>
      </c>
      <c r="H61" s="13">
        <v>3187</v>
      </c>
      <c r="I61" s="13">
        <v>28003</v>
      </c>
      <c r="J61" s="10">
        <v>106</v>
      </c>
      <c r="K61" s="13">
        <v>23</v>
      </c>
      <c r="L61" s="17">
        <v>25.47</v>
      </c>
      <c r="M61" s="13">
        <v>0</v>
      </c>
    </row>
    <row r="62" spans="1:13" x14ac:dyDescent="0.25">
      <c r="A62" s="10">
        <v>61</v>
      </c>
      <c r="B62" s="10">
        <v>61</v>
      </c>
      <c r="C62" s="13">
        <v>911497</v>
      </c>
      <c r="D62" s="13">
        <v>910894</v>
      </c>
      <c r="E62" s="9">
        <v>1065.4000000000001</v>
      </c>
      <c r="F62" s="9">
        <v>176.8</v>
      </c>
      <c r="G62" s="11">
        <v>1.4661</v>
      </c>
      <c r="H62" s="13">
        <v>8310</v>
      </c>
      <c r="I62" s="13">
        <v>28150</v>
      </c>
      <c r="J62" s="10">
        <v>104</v>
      </c>
      <c r="K62" s="13">
        <v>29</v>
      </c>
      <c r="L62" s="17">
        <v>25.46</v>
      </c>
      <c r="M62" s="13">
        <v>0</v>
      </c>
    </row>
    <row r="63" spans="1:13" x14ac:dyDescent="0.25">
      <c r="A63" s="10">
        <v>62</v>
      </c>
      <c r="B63" s="10">
        <v>62</v>
      </c>
      <c r="C63" s="13">
        <v>909039</v>
      </c>
      <c r="D63" s="13">
        <v>908496</v>
      </c>
      <c r="E63" s="9">
        <v>1073.2</v>
      </c>
      <c r="F63" s="9">
        <v>184.1</v>
      </c>
      <c r="G63" s="11">
        <v>1.4645999999999999</v>
      </c>
      <c r="H63" s="13">
        <v>13915</v>
      </c>
      <c r="I63" s="13">
        <v>28319</v>
      </c>
      <c r="J63" s="10">
        <v>102</v>
      </c>
      <c r="K63" s="13">
        <v>29</v>
      </c>
      <c r="L63" s="17">
        <v>25.47</v>
      </c>
      <c r="M63" s="13">
        <v>0</v>
      </c>
    </row>
    <row r="64" spans="1:13" x14ac:dyDescent="0.25">
      <c r="A64" s="10">
        <v>63</v>
      </c>
      <c r="B64" s="10">
        <v>63</v>
      </c>
      <c r="C64" s="13">
        <v>909503</v>
      </c>
      <c r="D64" s="13">
        <v>908915</v>
      </c>
      <c r="E64" s="9">
        <v>1067.0999999999999</v>
      </c>
      <c r="F64" s="9">
        <v>178.9</v>
      </c>
      <c r="G64" s="11">
        <v>1.4658</v>
      </c>
      <c r="H64" s="13">
        <v>4173</v>
      </c>
      <c r="I64" s="13">
        <v>28995</v>
      </c>
      <c r="J64" s="10">
        <v>102</v>
      </c>
      <c r="K64" s="13">
        <v>41</v>
      </c>
      <c r="L64" s="17">
        <v>25.47</v>
      </c>
      <c r="M64" s="13">
        <v>0</v>
      </c>
    </row>
    <row r="65" spans="1:13" x14ac:dyDescent="0.25">
      <c r="A65" s="10">
        <v>64</v>
      </c>
      <c r="B65" s="10">
        <v>64</v>
      </c>
      <c r="C65" s="13">
        <v>910700</v>
      </c>
      <c r="D65" s="13">
        <v>910088</v>
      </c>
      <c r="E65" s="9">
        <v>1063.4000000000001</v>
      </c>
      <c r="F65" s="9">
        <v>174.3</v>
      </c>
      <c r="G65" s="11">
        <v>1.4659</v>
      </c>
      <c r="H65" s="13">
        <v>3305</v>
      </c>
      <c r="I65" s="13">
        <v>28213</v>
      </c>
      <c r="J65" s="10">
        <v>105</v>
      </c>
      <c r="K65" s="13">
        <v>34</v>
      </c>
      <c r="L65" s="17">
        <v>25.46</v>
      </c>
      <c r="M65" s="13">
        <v>0</v>
      </c>
    </row>
    <row r="66" spans="1:13" x14ac:dyDescent="0.25">
      <c r="A66" s="10">
        <v>65</v>
      </c>
      <c r="B66" s="10">
        <v>65</v>
      </c>
      <c r="C66" s="13">
        <v>910014</v>
      </c>
      <c r="D66" s="13">
        <v>909399</v>
      </c>
      <c r="E66" s="9">
        <v>1066.3</v>
      </c>
      <c r="F66" s="9">
        <v>177.7</v>
      </c>
      <c r="G66" s="11">
        <v>1.4652000000000001</v>
      </c>
      <c r="H66" s="13">
        <v>5847</v>
      </c>
      <c r="I66" s="13">
        <v>28283</v>
      </c>
      <c r="J66" s="10">
        <v>101</v>
      </c>
      <c r="K66" s="13">
        <v>48</v>
      </c>
      <c r="L66" s="17">
        <v>25.47</v>
      </c>
      <c r="M66" s="13">
        <v>0</v>
      </c>
    </row>
    <row r="67" spans="1:13" x14ac:dyDescent="0.25">
      <c r="A67" s="10">
        <v>66</v>
      </c>
      <c r="B67" s="10">
        <v>66</v>
      </c>
      <c r="C67" s="13">
        <v>909294</v>
      </c>
      <c r="D67" s="13">
        <v>908626</v>
      </c>
      <c r="E67" s="9">
        <v>1063.3</v>
      </c>
      <c r="F67" s="9">
        <v>174.4</v>
      </c>
      <c r="G67" s="11">
        <v>1.4639</v>
      </c>
      <c r="H67" s="13">
        <v>3406</v>
      </c>
      <c r="I67" s="13">
        <v>28501</v>
      </c>
      <c r="J67" s="10">
        <v>103</v>
      </c>
      <c r="K67" s="13">
        <v>40</v>
      </c>
      <c r="L67" s="17">
        <v>25.47</v>
      </c>
      <c r="M67" s="13">
        <v>0</v>
      </c>
    </row>
    <row r="68" spans="1:13" x14ac:dyDescent="0.25">
      <c r="A68" s="10">
        <v>67</v>
      </c>
      <c r="B68" s="10">
        <v>67</v>
      </c>
      <c r="C68" s="13">
        <v>909844</v>
      </c>
      <c r="D68" s="13">
        <v>909186</v>
      </c>
      <c r="E68" s="9">
        <v>1065.7</v>
      </c>
      <c r="F68" s="9">
        <v>176.1</v>
      </c>
      <c r="G68" s="11">
        <v>1.4651000000000001</v>
      </c>
      <c r="H68" s="13">
        <v>2177</v>
      </c>
      <c r="I68" s="13">
        <v>27809</v>
      </c>
      <c r="J68" s="10">
        <v>103</v>
      </c>
      <c r="K68" s="13">
        <v>40</v>
      </c>
      <c r="L68" s="17">
        <v>25.47</v>
      </c>
      <c r="M68" s="13">
        <v>0</v>
      </c>
    </row>
    <row r="69" spans="1:13" x14ac:dyDescent="0.25">
      <c r="A69" s="10">
        <v>68</v>
      </c>
      <c r="B69" s="10">
        <v>68</v>
      </c>
      <c r="C69" s="13">
        <v>910627</v>
      </c>
      <c r="D69" s="13">
        <v>910091</v>
      </c>
      <c r="E69" s="9">
        <v>1068.5</v>
      </c>
      <c r="F69" s="9">
        <v>179.7</v>
      </c>
      <c r="G69" s="11">
        <v>1.4662999999999999</v>
      </c>
      <c r="H69" s="13">
        <v>4034</v>
      </c>
      <c r="I69" s="13">
        <v>28284</v>
      </c>
      <c r="J69" s="10">
        <v>104</v>
      </c>
      <c r="K69" s="13">
        <v>38</v>
      </c>
      <c r="L69" s="17">
        <v>25.48</v>
      </c>
      <c r="M69" s="13">
        <v>0</v>
      </c>
    </row>
    <row r="70" spans="1:13" x14ac:dyDescent="0.25">
      <c r="A70" s="10">
        <v>69</v>
      </c>
      <c r="B70" s="10">
        <v>69</v>
      </c>
      <c r="C70" s="13">
        <v>912063</v>
      </c>
      <c r="D70" s="13">
        <v>911448</v>
      </c>
      <c r="E70" s="9">
        <v>1067</v>
      </c>
      <c r="F70" s="9">
        <v>177.9</v>
      </c>
      <c r="G70" s="11">
        <v>1.4665999999999999</v>
      </c>
      <c r="H70" s="13">
        <v>4836</v>
      </c>
      <c r="I70" s="13">
        <v>28129</v>
      </c>
      <c r="J70" s="10">
        <v>104</v>
      </c>
      <c r="K70" s="13">
        <v>33</v>
      </c>
      <c r="L70" s="17">
        <v>25.47</v>
      </c>
      <c r="M70" s="13">
        <v>0</v>
      </c>
    </row>
    <row r="71" spans="1:13" x14ac:dyDescent="0.25">
      <c r="A71" s="10">
        <v>70</v>
      </c>
      <c r="B71" s="10">
        <v>70</v>
      </c>
      <c r="C71" s="13">
        <v>911220</v>
      </c>
      <c r="D71" s="13">
        <v>910680</v>
      </c>
      <c r="E71" s="9">
        <v>1068.2</v>
      </c>
      <c r="F71" s="9">
        <v>178.9</v>
      </c>
      <c r="G71" s="11">
        <v>1.4663999999999999</v>
      </c>
      <c r="H71" s="13">
        <v>5211</v>
      </c>
      <c r="I71" s="13">
        <v>28651</v>
      </c>
      <c r="J71" s="10">
        <v>102</v>
      </c>
      <c r="K71" s="13">
        <v>28</v>
      </c>
      <c r="L71" s="17">
        <v>25.47</v>
      </c>
      <c r="M71" s="13">
        <v>0</v>
      </c>
    </row>
    <row r="72" spans="1:13" x14ac:dyDescent="0.25">
      <c r="A72" s="10">
        <v>71</v>
      </c>
      <c r="B72" s="10">
        <v>71</v>
      </c>
      <c r="C72" s="13">
        <v>911566</v>
      </c>
      <c r="D72" s="13">
        <v>910910</v>
      </c>
      <c r="E72" s="9">
        <v>1067.7</v>
      </c>
      <c r="F72" s="9">
        <v>178</v>
      </c>
      <c r="G72" s="11">
        <v>1.4658</v>
      </c>
      <c r="H72" s="13">
        <v>2282</v>
      </c>
      <c r="I72" s="13">
        <v>28776</v>
      </c>
      <c r="J72" s="10">
        <v>103</v>
      </c>
      <c r="K72" s="13">
        <v>46</v>
      </c>
      <c r="L72" s="17">
        <v>25.48</v>
      </c>
      <c r="M72" s="13">
        <v>0</v>
      </c>
    </row>
    <row r="73" spans="1:13" x14ac:dyDescent="0.25">
      <c r="A73" s="10">
        <v>72</v>
      </c>
      <c r="B73" s="10">
        <v>72</v>
      </c>
      <c r="C73" s="13">
        <v>911109</v>
      </c>
      <c r="D73" s="13">
        <v>910421</v>
      </c>
      <c r="E73" s="9">
        <v>1067.5</v>
      </c>
      <c r="F73" s="9">
        <v>178.1</v>
      </c>
      <c r="G73" s="11">
        <v>1.4657</v>
      </c>
      <c r="H73" s="13">
        <v>9043</v>
      </c>
      <c r="I73" s="13">
        <v>28102</v>
      </c>
      <c r="J73" s="10">
        <v>102</v>
      </c>
      <c r="K73" s="13">
        <v>35</v>
      </c>
      <c r="L73" s="17">
        <v>25.46</v>
      </c>
      <c r="M73" s="13">
        <v>0</v>
      </c>
    </row>
    <row r="74" spans="1:13" x14ac:dyDescent="0.25">
      <c r="A74" s="10">
        <v>73</v>
      </c>
      <c r="B74" s="10">
        <v>73</v>
      </c>
      <c r="C74" s="13">
        <v>908716</v>
      </c>
      <c r="D74" s="13">
        <v>908110</v>
      </c>
      <c r="E74" s="9">
        <v>1066.4000000000001</v>
      </c>
      <c r="F74" s="9">
        <v>177.8</v>
      </c>
      <c r="G74" s="11">
        <v>1.466</v>
      </c>
      <c r="H74" s="13">
        <v>4357</v>
      </c>
      <c r="I74" s="13">
        <v>27970</v>
      </c>
      <c r="J74" s="10">
        <v>102</v>
      </c>
      <c r="K74" s="13">
        <v>46</v>
      </c>
      <c r="L74" s="17">
        <v>25.46</v>
      </c>
      <c r="M74" s="13">
        <v>0</v>
      </c>
    </row>
    <row r="75" spans="1:13" x14ac:dyDescent="0.25">
      <c r="A75" s="10">
        <v>74</v>
      </c>
      <c r="B75" s="10">
        <v>74</v>
      </c>
      <c r="C75" s="13">
        <v>909752</v>
      </c>
      <c r="D75" s="13">
        <v>909106</v>
      </c>
      <c r="E75" s="9">
        <v>1070.8</v>
      </c>
      <c r="F75" s="9">
        <v>181.4</v>
      </c>
      <c r="G75" s="11">
        <v>1.466</v>
      </c>
      <c r="H75" s="13">
        <v>8025</v>
      </c>
      <c r="I75" s="13">
        <v>27569</v>
      </c>
      <c r="J75" s="10">
        <v>108</v>
      </c>
      <c r="K75" s="13">
        <v>51</v>
      </c>
      <c r="L75" s="17">
        <v>25.47</v>
      </c>
      <c r="M75" s="13">
        <v>0</v>
      </c>
    </row>
    <row r="76" spans="1:13" x14ac:dyDescent="0.25">
      <c r="A76" s="10">
        <v>75</v>
      </c>
      <c r="B76" s="10">
        <v>75</v>
      </c>
      <c r="C76" s="13">
        <v>909946</v>
      </c>
      <c r="D76" s="13">
        <v>909343</v>
      </c>
      <c r="E76" s="9">
        <v>1066.7</v>
      </c>
      <c r="F76" s="9">
        <v>177.8</v>
      </c>
      <c r="G76" s="11">
        <v>1.4649000000000001</v>
      </c>
      <c r="H76" s="13">
        <v>6199</v>
      </c>
      <c r="I76" s="13">
        <v>28549</v>
      </c>
      <c r="J76" s="10">
        <v>105</v>
      </c>
      <c r="K76" s="13">
        <v>38</v>
      </c>
      <c r="L76" s="17">
        <v>25.47</v>
      </c>
      <c r="M76" s="13">
        <v>0</v>
      </c>
    </row>
    <row r="77" spans="1:13" x14ac:dyDescent="0.25">
      <c r="A77" s="10">
        <v>76</v>
      </c>
      <c r="B77" s="10">
        <v>76</v>
      </c>
      <c r="C77" s="13">
        <v>908385</v>
      </c>
      <c r="D77" s="13">
        <v>907788</v>
      </c>
      <c r="E77" s="9">
        <v>1069.8</v>
      </c>
      <c r="F77" s="9">
        <v>180.5</v>
      </c>
      <c r="G77" s="11">
        <v>1.4669000000000001</v>
      </c>
      <c r="H77" s="13">
        <v>8510</v>
      </c>
      <c r="I77" s="13">
        <v>28128</v>
      </c>
      <c r="J77" s="10">
        <v>104</v>
      </c>
      <c r="K77" s="13">
        <v>34</v>
      </c>
      <c r="L77" s="17">
        <v>25.47</v>
      </c>
      <c r="M77" s="13">
        <v>0</v>
      </c>
    </row>
    <row r="78" spans="1:13" x14ac:dyDescent="0.25">
      <c r="A78" s="10">
        <v>77</v>
      </c>
      <c r="B78" s="10">
        <v>77</v>
      </c>
      <c r="C78" s="13">
        <v>911658</v>
      </c>
      <c r="D78" s="13">
        <v>911033</v>
      </c>
      <c r="E78" s="9">
        <v>1062.8</v>
      </c>
      <c r="F78" s="9">
        <v>174.1</v>
      </c>
      <c r="G78" s="11">
        <v>1.4669000000000001</v>
      </c>
      <c r="H78" s="13">
        <v>4298</v>
      </c>
      <c r="I78" s="13">
        <v>28330</v>
      </c>
      <c r="J78" s="10">
        <v>105</v>
      </c>
      <c r="K78" s="13">
        <v>40</v>
      </c>
      <c r="L78" s="17">
        <v>25.46</v>
      </c>
      <c r="M78" s="13">
        <v>0</v>
      </c>
    </row>
    <row r="79" spans="1:13" x14ac:dyDescent="0.25">
      <c r="A79" s="10">
        <v>78</v>
      </c>
      <c r="B79" s="10">
        <v>78</v>
      </c>
      <c r="C79" s="13">
        <v>913585</v>
      </c>
      <c r="D79" s="13">
        <v>912980</v>
      </c>
      <c r="E79" s="9">
        <v>1067.3</v>
      </c>
      <c r="F79" s="9">
        <v>177.6</v>
      </c>
      <c r="G79" s="11">
        <v>1.4658</v>
      </c>
      <c r="H79" s="13">
        <v>4830</v>
      </c>
      <c r="I79" s="13">
        <v>28530</v>
      </c>
      <c r="J79" s="10">
        <v>103</v>
      </c>
      <c r="K79" s="13">
        <v>40</v>
      </c>
      <c r="L79" s="17">
        <v>25.47</v>
      </c>
      <c r="M79" s="13">
        <v>0</v>
      </c>
    </row>
    <row r="80" spans="1:13" x14ac:dyDescent="0.25">
      <c r="A80" s="10">
        <v>79</v>
      </c>
      <c r="B80" s="10">
        <v>79</v>
      </c>
      <c r="C80" s="13">
        <v>911471</v>
      </c>
      <c r="D80" s="13">
        <v>910932</v>
      </c>
      <c r="E80" s="9">
        <v>1069.4000000000001</v>
      </c>
      <c r="F80" s="9">
        <v>180.6</v>
      </c>
      <c r="G80" s="11">
        <v>1.4642999999999999</v>
      </c>
      <c r="H80" s="13">
        <v>11769</v>
      </c>
      <c r="I80" s="13">
        <v>28272</v>
      </c>
      <c r="J80" s="10">
        <v>104</v>
      </c>
      <c r="K80" s="13">
        <v>48</v>
      </c>
      <c r="L80" s="17">
        <v>25.47</v>
      </c>
      <c r="M80" s="13">
        <v>0</v>
      </c>
    </row>
    <row r="81" spans="1:13" x14ac:dyDescent="0.25">
      <c r="A81" s="10">
        <v>80</v>
      </c>
      <c r="B81" s="10">
        <v>80</v>
      </c>
      <c r="C81" s="13">
        <v>910676</v>
      </c>
      <c r="D81" s="13">
        <v>910118</v>
      </c>
      <c r="E81" s="9">
        <v>1065.0999999999999</v>
      </c>
      <c r="F81" s="9">
        <v>175.9</v>
      </c>
      <c r="G81" s="11">
        <v>1.4657</v>
      </c>
      <c r="H81" s="13">
        <v>4455</v>
      </c>
      <c r="I81" s="13">
        <v>28133</v>
      </c>
      <c r="J81" s="10">
        <v>104</v>
      </c>
      <c r="K81" s="13">
        <v>47</v>
      </c>
      <c r="L81" s="17">
        <v>25.46</v>
      </c>
      <c r="M81" s="13">
        <v>0</v>
      </c>
    </row>
    <row r="82" spans="1:13" x14ac:dyDescent="0.25">
      <c r="A82" s="10">
        <v>81</v>
      </c>
      <c r="B82" s="10">
        <v>81</v>
      </c>
      <c r="C82" s="13">
        <v>911757</v>
      </c>
      <c r="D82" s="13">
        <v>911180</v>
      </c>
      <c r="E82" s="9">
        <v>1068.0999999999999</v>
      </c>
      <c r="F82" s="9">
        <v>178.7</v>
      </c>
      <c r="G82" s="11">
        <v>1.4666999999999999</v>
      </c>
      <c r="H82" s="13">
        <v>7232</v>
      </c>
      <c r="I82" s="13">
        <v>28237</v>
      </c>
      <c r="J82" s="10">
        <v>104</v>
      </c>
      <c r="K82" s="13">
        <v>34</v>
      </c>
      <c r="L82" s="17">
        <v>25.46</v>
      </c>
      <c r="M82" s="13">
        <v>0</v>
      </c>
    </row>
    <row r="83" spans="1:13" x14ac:dyDescent="0.25">
      <c r="A83" s="10">
        <v>82</v>
      </c>
      <c r="B83" s="10">
        <v>82</v>
      </c>
      <c r="C83" s="13">
        <v>909203</v>
      </c>
      <c r="D83" s="13">
        <v>908617</v>
      </c>
      <c r="E83" s="9">
        <v>1065.7</v>
      </c>
      <c r="F83" s="9">
        <v>176.5</v>
      </c>
      <c r="G83" s="11">
        <v>1.4670000000000001</v>
      </c>
      <c r="H83" s="13">
        <v>3528</v>
      </c>
      <c r="I83" s="13">
        <v>28426</v>
      </c>
      <c r="J83" s="10">
        <v>102</v>
      </c>
      <c r="K83" s="13">
        <v>38</v>
      </c>
      <c r="L83" s="17">
        <v>25.47</v>
      </c>
      <c r="M83" s="13">
        <v>0</v>
      </c>
    </row>
    <row r="84" spans="1:13" x14ac:dyDescent="0.25">
      <c r="A84" s="10">
        <v>83</v>
      </c>
      <c r="B84" s="10">
        <v>83</v>
      </c>
      <c r="C84" s="13">
        <v>911792</v>
      </c>
      <c r="D84" s="13">
        <v>911140</v>
      </c>
      <c r="E84" s="9">
        <v>1068.4000000000001</v>
      </c>
      <c r="F84" s="9">
        <v>178.9</v>
      </c>
      <c r="G84" s="11">
        <v>1.4652000000000001</v>
      </c>
      <c r="H84" s="13">
        <v>10924</v>
      </c>
      <c r="I84" s="13">
        <v>29402</v>
      </c>
      <c r="J84" s="10">
        <v>105</v>
      </c>
      <c r="K84" s="13">
        <v>40</v>
      </c>
      <c r="L84" s="17">
        <v>25.47</v>
      </c>
      <c r="M84" s="13">
        <v>0</v>
      </c>
    </row>
    <row r="85" spans="1:13" x14ac:dyDescent="0.25">
      <c r="A85" s="10">
        <v>84</v>
      </c>
      <c r="B85" s="10">
        <v>84</v>
      </c>
      <c r="C85" s="13">
        <v>911353</v>
      </c>
      <c r="D85" s="13">
        <v>910734</v>
      </c>
      <c r="E85" s="9">
        <v>1064</v>
      </c>
      <c r="F85" s="9">
        <v>175.2</v>
      </c>
      <c r="G85" s="11">
        <v>1.4661999999999999</v>
      </c>
      <c r="H85" s="13">
        <v>3173</v>
      </c>
      <c r="I85" s="13">
        <v>28179</v>
      </c>
      <c r="J85" s="10">
        <v>106</v>
      </c>
      <c r="K85" s="13">
        <v>31</v>
      </c>
      <c r="L85" s="17">
        <v>25.46</v>
      </c>
      <c r="M85" s="13">
        <v>0</v>
      </c>
    </row>
    <row r="86" spans="1:13" x14ac:dyDescent="0.25">
      <c r="A86" s="10">
        <v>85</v>
      </c>
      <c r="B86" s="10">
        <v>85</v>
      </c>
      <c r="C86" s="13">
        <v>911510</v>
      </c>
      <c r="D86" s="13">
        <v>910927</v>
      </c>
      <c r="E86" s="9">
        <v>1070.5</v>
      </c>
      <c r="F86" s="9">
        <v>182.2</v>
      </c>
      <c r="G86" s="11">
        <v>1.4654</v>
      </c>
      <c r="H86" s="13">
        <v>21149</v>
      </c>
      <c r="I86" s="13">
        <v>29091</v>
      </c>
      <c r="J86" s="10">
        <v>103</v>
      </c>
      <c r="K86" s="13">
        <v>39</v>
      </c>
      <c r="L86" s="17">
        <v>25.46</v>
      </c>
      <c r="M86" s="13">
        <v>0</v>
      </c>
    </row>
    <row r="87" spans="1:13" x14ac:dyDescent="0.25">
      <c r="A87" s="10">
        <v>86</v>
      </c>
      <c r="B87" s="10">
        <v>86</v>
      </c>
      <c r="C87" s="13">
        <v>911306</v>
      </c>
      <c r="D87" s="13">
        <v>910661</v>
      </c>
      <c r="E87" s="9">
        <v>1063.9000000000001</v>
      </c>
      <c r="F87" s="9">
        <v>175</v>
      </c>
      <c r="G87" s="11">
        <v>1.4661999999999999</v>
      </c>
      <c r="H87" s="13">
        <v>3840</v>
      </c>
      <c r="I87" s="13">
        <v>28139</v>
      </c>
      <c r="J87" s="10">
        <v>105</v>
      </c>
      <c r="K87" s="13">
        <v>42</v>
      </c>
      <c r="L87" s="17">
        <v>25.46</v>
      </c>
      <c r="M87" s="13">
        <v>0</v>
      </c>
    </row>
    <row r="88" spans="1:13" x14ac:dyDescent="0.25">
      <c r="A88" s="10">
        <v>87</v>
      </c>
      <c r="B88" s="10">
        <v>87</v>
      </c>
      <c r="C88" s="13">
        <v>910163</v>
      </c>
      <c r="D88" s="13">
        <v>909627</v>
      </c>
      <c r="E88" s="9">
        <v>1063.4000000000001</v>
      </c>
      <c r="F88" s="9">
        <v>174.8</v>
      </c>
      <c r="G88" s="11">
        <v>1.4656</v>
      </c>
      <c r="H88" s="13">
        <v>4451</v>
      </c>
      <c r="I88" s="13">
        <v>28492</v>
      </c>
      <c r="J88" s="10">
        <v>103</v>
      </c>
      <c r="K88" s="13">
        <v>44</v>
      </c>
      <c r="L88" s="17">
        <v>25.46</v>
      </c>
      <c r="M88" s="13">
        <v>0</v>
      </c>
    </row>
    <row r="89" spans="1:13" x14ac:dyDescent="0.25">
      <c r="A89" s="10">
        <v>88</v>
      </c>
      <c r="B89" s="10">
        <v>88</v>
      </c>
      <c r="C89" s="13">
        <v>910688</v>
      </c>
      <c r="D89" s="13">
        <v>910098</v>
      </c>
      <c r="E89" s="9">
        <v>1065.3</v>
      </c>
      <c r="F89" s="9">
        <v>176</v>
      </c>
      <c r="G89" s="11">
        <v>1.4654</v>
      </c>
      <c r="H89" s="13">
        <v>4727</v>
      </c>
      <c r="I89" s="13">
        <v>28223</v>
      </c>
      <c r="J89" s="10">
        <v>104</v>
      </c>
      <c r="K89" s="13">
        <v>43</v>
      </c>
      <c r="L89" s="17">
        <v>25.46</v>
      </c>
      <c r="M89" s="13">
        <v>0</v>
      </c>
    </row>
    <row r="90" spans="1:13" x14ac:dyDescent="0.25">
      <c r="A90" s="10">
        <v>89</v>
      </c>
      <c r="B90" s="10">
        <v>89</v>
      </c>
      <c r="C90" s="13">
        <v>912245</v>
      </c>
      <c r="D90" s="13">
        <v>911661</v>
      </c>
      <c r="E90" s="9">
        <v>1065</v>
      </c>
      <c r="F90" s="9">
        <v>176.1</v>
      </c>
      <c r="G90" s="11">
        <v>1.4658</v>
      </c>
      <c r="H90" s="13">
        <v>3087</v>
      </c>
      <c r="I90" s="13">
        <v>27977</v>
      </c>
      <c r="J90" s="10">
        <v>103</v>
      </c>
      <c r="K90" s="13">
        <v>35</v>
      </c>
      <c r="L90" s="17">
        <v>25.47</v>
      </c>
      <c r="M90" s="13">
        <v>0</v>
      </c>
    </row>
    <row r="91" spans="1:13" x14ac:dyDescent="0.25">
      <c r="A91" s="10">
        <v>90</v>
      </c>
      <c r="B91" s="10">
        <v>90</v>
      </c>
      <c r="C91" s="13">
        <v>911634</v>
      </c>
      <c r="D91" s="13">
        <v>911140</v>
      </c>
      <c r="E91" s="9">
        <v>1066.4000000000001</v>
      </c>
      <c r="F91" s="9">
        <v>177.4</v>
      </c>
      <c r="G91" s="11">
        <v>1.4655</v>
      </c>
      <c r="H91" s="13">
        <v>2809</v>
      </c>
      <c r="I91" s="13">
        <v>27947</v>
      </c>
      <c r="J91" s="10">
        <v>101</v>
      </c>
      <c r="K91" s="13">
        <v>36</v>
      </c>
      <c r="L91" s="17">
        <v>25.47</v>
      </c>
      <c r="M91" s="13">
        <v>0</v>
      </c>
    </row>
    <row r="92" spans="1:13" x14ac:dyDescent="0.25">
      <c r="A92" s="10">
        <v>91</v>
      </c>
      <c r="B92" s="10">
        <v>91</v>
      </c>
      <c r="C92" s="13">
        <v>909866</v>
      </c>
      <c r="D92" s="13">
        <v>909282</v>
      </c>
      <c r="E92" s="9">
        <v>1063.3</v>
      </c>
      <c r="F92" s="9">
        <v>174.5</v>
      </c>
      <c r="G92" s="11">
        <v>1.4653</v>
      </c>
      <c r="H92" s="13">
        <v>2818</v>
      </c>
      <c r="I92" s="13">
        <v>27839</v>
      </c>
      <c r="J92" s="10">
        <v>103</v>
      </c>
      <c r="K92" s="13">
        <v>36</v>
      </c>
      <c r="L92" s="17">
        <v>25.46</v>
      </c>
      <c r="M92" s="13">
        <v>0</v>
      </c>
    </row>
    <row r="93" spans="1:13" x14ac:dyDescent="0.25">
      <c r="A93" s="10">
        <v>92</v>
      </c>
      <c r="B93" s="10">
        <v>92</v>
      </c>
      <c r="C93" s="13">
        <v>909639</v>
      </c>
      <c r="D93" s="13">
        <v>909100</v>
      </c>
      <c r="E93" s="9">
        <v>1066.2</v>
      </c>
      <c r="F93" s="9">
        <v>177.1</v>
      </c>
      <c r="G93" s="11">
        <v>1.466</v>
      </c>
      <c r="H93" s="13">
        <v>3020</v>
      </c>
      <c r="I93" s="13">
        <v>28383</v>
      </c>
      <c r="J93" s="10">
        <v>105</v>
      </c>
      <c r="K93" s="13">
        <v>41</v>
      </c>
      <c r="L93" s="17">
        <v>25.47</v>
      </c>
      <c r="M93" s="13">
        <v>0</v>
      </c>
    </row>
    <row r="94" spans="1:13" x14ac:dyDescent="0.25">
      <c r="A94" s="10">
        <v>93</v>
      </c>
      <c r="B94" s="10">
        <v>93</v>
      </c>
      <c r="C94" s="13">
        <v>911342</v>
      </c>
      <c r="D94" s="13">
        <v>910743</v>
      </c>
      <c r="E94" s="9">
        <v>1066.2</v>
      </c>
      <c r="F94" s="9">
        <v>176.1</v>
      </c>
      <c r="G94" s="11">
        <v>1.4666999999999999</v>
      </c>
      <c r="H94" s="13">
        <v>2805</v>
      </c>
      <c r="I94" s="13">
        <v>28335</v>
      </c>
      <c r="J94" s="10">
        <v>106</v>
      </c>
      <c r="K94" s="13">
        <v>37</v>
      </c>
      <c r="L94" s="17">
        <v>25.46</v>
      </c>
      <c r="M94" s="13">
        <v>0</v>
      </c>
    </row>
    <row r="95" spans="1:13" x14ac:dyDescent="0.25">
      <c r="A95" s="10">
        <v>94</v>
      </c>
      <c r="B95" s="10">
        <v>94</v>
      </c>
      <c r="C95" s="13">
        <v>909359</v>
      </c>
      <c r="D95" s="13">
        <v>908821</v>
      </c>
      <c r="E95" s="9">
        <v>1065.4000000000001</v>
      </c>
      <c r="F95" s="9">
        <v>176.6</v>
      </c>
      <c r="G95" s="11">
        <v>1.4655</v>
      </c>
      <c r="H95" s="13">
        <v>4474</v>
      </c>
      <c r="I95" s="13">
        <v>27963</v>
      </c>
      <c r="J95" s="10">
        <v>103</v>
      </c>
      <c r="K95" s="13">
        <v>37</v>
      </c>
      <c r="L95" s="17">
        <v>25.47</v>
      </c>
      <c r="M95" s="13">
        <v>0</v>
      </c>
    </row>
    <row r="96" spans="1:13" x14ac:dyDescent="0.25">
      <c r="A96" s="10">
        <v>95</v>
      </c>
      <c r="B96" s="10">
        <v>95</v>
      </c>
      <c r="C96" s="13">
        <v>911012</v>
      </c>
      <c r="D96" s="13">
        <v>910320</v>
      </c>
      <c r="E96" s="9">
        <v>1062.8</v>
      </c>
      <c r="F96" s="9">
        <v>174.3</v>
      </c>
      <c r="G96" s="11">
        <v>1.4658</v>
      </c>
      <c r="H96" s="13">
        <v>3935</v>
      </c>
      <c r="I96" s="13">
        <v>27909</v>
      </c>
      <c r="J96" s="10">
        <v>107</v>
      </c>
      <c r="K96" s="13">
        <v>36</v>
      </c>
      <c r="L96" s="17">
        <v>25.45</v>
      </c>
      <c r="M96" s="13">
        <v>0</v>
      </c>
    </row>
    <row r="97" spans="1:13" x14ac:dyDescent="0.25">
      <c r="A97" s="10">
        <v>96</v>
      </c>
      <c r="B97" s="10">
        <v>96</v>
      </c>
      <c r="C97" s="13">
        <v>910852</v>
      </c>
      <c r="D97" s="13">
        <v>910315</v>
      </c>
      <c r="E97" s="9">
        <v>1064.4000000000001</v>
      </c>
      <c r="F97" s="9">
        <v>175.8</v>
      </c>
      <c r="G97" s="11">
        <v>1.4649000000000001</v>
      </c>
      <c r="H97" s="13">
        <v>1694</v>
      </c>
      <c r="I97" s="13">
        <v>28359</v>
      </c>
      <c r="J97" s="10">
        <v>106</v>
      </c>
      <c r="K97" s="13">
        <v>42</v>
      </c>
      <c r="L97" s="17">
        <v>25.46</v>
      </c>
      <c r="M97" s="13">
        <v>0</v>
      </c>
    </row>
    <row r="98" spans="1:13" x14ac:dyDescent="0.25">
      <c r="A98" s="10">
        <v>97</v>
      </c>
      <c r="B98" s="10">
        <v>97</v>
      </c>
      <c r="C98" s="13">
        <v>911232</v>
      </c>
      <c r="D98" s="13">
        <v>910656</v>
      </c>
      <c r="E98" s="9">
        <v>1062.8</v>
      </c>
      <c r="F98" s="9">
        <v>174</v>
      </c>
      <c r="G98" s="11">
        <v>1.4668000000000001</v>
      </c>
      <c r="H98" s="13">
        <v>3611</v>
      </c>
      <c r="I98" s="13">
        <v>28491</v>
      </c>
      <c r="J98" s="10">
        <v>104</v>
      </c>
      <c r="K98" s="13">
        <v>48</v>
      </c>
      <c r="L98" s="17">
        <v>25.45</v>
      </c>
      <c r="M98" s="13">
        <v>0</v>
      </c>
    </row>
    <row r="99" spans="1:13" x14ac:dyDescent="0.25">
      <c r="A99" s="10">
        <v>98</v>
      </c>
      <c r="B99" s="10">
        <v>98</v>
      </c>
      <c r="C99" s="13">
        <v>911817</v>
      </c>
      <c r="D99" s="13">
        <v>911222</v>
      </c>
      <c r="E99" s="9">
        <v>1066.3</v>
      </c>
      <c r="F99" s="9">
        <v>176.6</v>
      </c>
      <c r="G99" s="11">
        <v>1.4656</v>
      </c>
      <c r="H99" s="13">
        <v>4448</v>
      </c>
      <c r="I99" s="13">
        <v>28266</v>
      </c>
      <c r="J99" s="10">
        <v>106</v>
      </c>
      <c r="K99" s="13">
        <v>30</v>
      </c>
      <c r="L99" s="17">
        <v>25.46</v>
      </c>
      <c r="M99" s="13">
        <v>0</v>
      </c>
    </row>
    <row r="100" spans="1:13" x14ac:dyDescent="0.25">
      <c r="A100" s="10">
        <v>99</v>
      </c>
      <c r="B100" s="10">
        <v>99</v>
      </c>
      <c r="C100" s="13">
        <v>911795</v>
      </c>
      <c r="D100" s="13">
        <v>911207</v>
      </c>
      <c r="E100" s="9">
        <v>1060.9000000000001</v>
      </c>
      <c r="F100" s="9">
        <v>171.9</v>
      </c>
      <c r="G100" s="11">
        <v>1.4658</v>
      </c>
      <c r="H100" s="13">
        <v>1131</v>
      </c>
      <c r="I100" s="13">
        <v>28212</v>
      </c>
      <c r="J100" s="10">
        <v>105</v>
      </c>
      <c r="K100" s="13">
        <v>31</v>
      </c>
      <c r="L100" s="17">
        <v>25.45</v>
      </c>
      <c r="M100" s="13">
        <v>0</v>
      </c>
    </row>
    <row r="101" spans="1:13" x14ac:dyDescent="0.25">
      <c r="A101" s="10">
        <v>100</v>
      </c>
      <c r="B101" s="10">
        <v>100</v>
      </c>
      <c r="C101" s="13">
        <v>910304</v>
      </c>
      <c r="D101" s="13">
        <v>909751</v>
      </c>
      <c r="E101" s="9">
        <v>1066.0999999999999</v>
      </c>
      <c r="F101" s="9">
        <v>178.1</v>
      </c>
      <c r="G101" s="11">
        <v>1.4650000000000001</v>
      </c>
      <c r="H101" s="13">
        <v>2197</v>
      </c>
      <c r="I101" s="13">
        <v>28489</v>
      </c>
      <c r="J101" s="10">
        <v>103</v>
      </c>
      <c r="K101" s="13">
        <v>36</v>
      </c>
      <c r="L101" s="17">
        <v>25.47</v>
      </c>
      <c r="M101" s="13">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1"/>
  <sheetViews>
    <sheetView workbookViewId="0">
      <pane ySplit="1" topLeftCell="A2" activePane="bottomLeft" state="frozen"/>
      <selection pane="bottomLeft"/>
    </sheetView>
  </sheetViews>
  <sheetFormatPr baseColWidth="10" defaultColWidth="9.140625" defaultRowHeight="15" x14ac:dyDescent="0.25"/>
  <cols>
    <col min="1" max="13" width="15" customWidth="1"/>
  </cols>
  <sheetData>
    <row r="1" spans="1:13" ht="45" customHeight="1" x14ac:dyDescent="0.25">
      <c r="A1" s="7" t="s">
        <v>5</v>
      </c>
      <c r="B1" s="7" t="s">
        <v>159</v>
      </c>
      <c r="C1" s="7" t="s">
        <v>160</v>
      </c>
      <c r="D1" s="7" t="s">
        <v>161</v>
      </c>
      <c r="E1" s="7" t="s">
        <v>31</v>
      </c>
      <c r="F1" s="7" t="s">
        <v>48</v>
      </c>
      <c r="G1" s="7" t="s">
        <v>162</v>
      </c>
      <c r="H1" s="7" t="s">
        <v>163</v>
      </c>
      <c r="I1" s="7" t="s">
        <v>164</v>
      </c>
      <c r="J1" s="7" t="s">
        <v>165</v>
      </c>
      <c r="K1" s="7" t="s">
        <v>166</v>
      </c>
      <c r="L1" s="7" t="s">
        <v>167</v>
      </c>
      <c r="M1" s="7" t="s">
        <v>168</v>
      </c>
    </row>
    <row r="2" spans="1:13" x14ac:dyDescent="0.25">
      <c r="A2" s="10">
        <v>1</v>
      </c>
      <c r="B2" s="10">
        <v>1</v>
      </c>
      <c r="C2" s="13">
        <v>911816</v>
      </c>
      <c r="D2" s="13">
        <v>911271</v>
      </c>
      <c r="E2" s="9">
        <v>1064.8</v>
      </c>
      <c r="F2" s="9">
        <v>175.5</v>
      </c>
      <c r="G2" s="11">
        <v>1.4653</v>
      </c>
      <c r="H2" s="13">
        <v>3924</v>
      </c>
      <c r="I2" s="13">
        <v>28548</v>
      </c>
      <c r="J2" s="10">
        <v>100</v>
      </c>
      <c r="K2" s="13">
        <v>68</v>
      </c>
      <c r="L2" s="17">
        <v>25.26</v>
      </c>
      <c r="M2" s="13">
        <v>0</v>
      </c>
    </row>
    <row r="3" spans="1:13" x14ac:dyDescent="0.25">
      <c r="A3" s="10">
        <v>2</v>
      </c>
      <c r="B3" s="10">
        <v>2</v>
      </c>
      <c r="C3" s="13">
        <v>910888</v>
      </c>
      <c r="D3" s="13">
        <v>910318</v>
      </c>
      <c r="E3" s="9">
        <v>1066.5999999999999</v>
      </c>
      <c r="F3" s="9">
        <v>176.9</v>
      </c>
      <c r="G3" s="11">
        <v>1.4670000000000001</v>
      </c>
      <c r="H3" s="13">
        <v>1202</v>
      </c>
      <c r="I3" s="13">
        <v>28090</v>
      </c>
      <c r="J3" s="10">
        <v>100</v>
      </c>
      <c r="K3" s="13">
        <v>41</v>
      </c>
      <c r="L3" s="17">
        <v>25.27</v>
      </c>
      <c r="M3" s="13">
        <v>0</v>
      </c>
    </row>
    <row r="4" spans="1:13" x14ac:dyDescent="0.25">
      <c r="A4" s="10">
        <v>3</v>
      </c>
      <c r="B4" s="10">
        <v>3</v>
      </c>
      <c r="C4" s="13">
        <v>910498</v>
      </c>
      <c r="D4" s="13">
        <v>909900</v>
      </c>
      <c r="E4" s="9">
        <v>1067.5999999999999</v>
      </c>
      <c r="F4" s="9">
        <v>178.5</v>
      </c>
      <c r="G4" s="11">
        <v>1.4655</v>
      </c>
      <c r="H4" s="13">
        <v>3022</v>
      </c>
      <c r="I4" s="13">
        <v>28283</v>
      </c>
      <c r="J4" s="10">
        <v>100</v>
      </c>
      <c r="K4" s="13">
        <v>25</v>
      </c>
      <c r="L4" s="17">
        <v>25.28</v>
      </c>
      <c r="M4" s="13">
        <v>0</v>
      </c>
    </row>
    <row r="5" spans="1:13" x14ac:dyDescent="0.25">
      <c r="A5" s="10">
        <v>4</v>
      </c>
      <c r="B5" s="10">
        <v>4</v>
      </c>
      <c r="C5" s="13">
        <v>911818</v>
      </c>
      <c r="D5" s="13">
        <v>911233</v>
      </c>
      <c r="E5" s="9">
        <v>1069.5</v>
      </c>
      <c r="F5" s="9">
        <v>180.1</v>
      </c>
      <c r="G5" s="11">
        <v>1.4661</v>
      </c>
      <c r="H5" s="13">
        <v>1890</v>
      </c>
      <c r="I5" s="13">
        <v>28149</v>
      </c>
      <c r="J5" s="10">
        <v>100</v>
      </c>
      <c r="K5" s="13">
        <v>40</v>
      </c>
      <c r="L5" s="17">
        <v>25.28</v>
      </c>
      <c r="M5" s="13">
        <v>0</v>
      </c>
    </row>
    <row r="6" spans="1:13" x14ac:dyDescent="0.25">
      <c r="A6" s="10">
        <v>5</v>
      </c>
      <c r="B6" s="10">
        <v>5</v>
      </c>
      <c r="C6" s="13">
        <v>910708</v>
      </c>
      <c r="D6" s="13">
        <v>910132</v>
      </c>
      <c r="E6" s="9">
        <v>1065.8</v>
      </c>
      <c r="F6" s="9">
        <v>177.9</v>
      </c>
      <c r="G6" s="11">
        <v>1.4651000000000001</v>
      </c>
      <c r="H6" s="13">
        <v>2815</v>
      </c>
      <c r="I6" s="13">
        <v>28125</v>
      </c>
      <c r="J6" s="10">
        <v>99</v>
      </c>
      <c r="K6" s="13">
        <v>39</v>
      </c>
      <c r="L6" s="17">
        <v>25.27</v>
      </c>
      <c r="M6" s="13">
        <v>0</v>
      </c>
    </row>
    <row r="7" spans="1:13" x14ac:dyDescent="0.25">
      <c r="A7" s="10">
        <v>6</v>
      </c>
      <c r="B7" s="10">
        <v>6</v>
      </c>
      <c r="C7" s="13">
        <v>909496</v>
      </c>
      <c r="D7" s="13">
        <v>908856</v>
      </c>
      <c r="E7" s="9">
        <v>1068.9000000000001</v>
      </c>
      <c r="F7" s="9">
        <v>179.6</v>
      </c>
      <c r="G7" s="11">
        <v>1.4652000000000001</v>
      </c>
      <c r="H7" s="13">
        <v>4268</v>
      </c>
      <c r="I7" s="13">
        <v>27918</v>
      </c>
      <c r="J7" s="10">
        <v>103</v>
      </c>
      <c r="K7" s="13">
        <v>59</v>
      </c>
      <c r="L7" s="17">
        <v>25.28</v>
      </c>
      <c r="M7" s="13">
        <v>0</v>
      </c>
    </row>
    <row r="8" spans="1:13" x14ac:dyDescent="0.25">
      <c r="A8" s="10">
        <v>7</v>
      </c>
      <c r="B8" s="10">
        <v>7</v>
      </c>
      <c r="C8" s="13">
        <v>911596</v>
      </c>
      <c r="D8" s="13">
        <v>910964</v>
      </c>
      <c r="E8" s="9">
        <v>1068.0999999999999</v>
      </c>
      <c r="F8" s="9">
        <v>179.5</v>
      </c>
      <c r="G8" s="11">
        <v>1.4648000000000001</v>
      </c>
      <c r="H8" s="13">
        <v>6236</v>
      </c>
      <c r="I8" s="13">
        <v>28296</v>
      </c>
      <c r="J8" s="10">
        <v>99</v>
      </c>
      <c r="K8" s="13">
        <v>31</v>
      </c>
      <c r="L8" s="17">
        <v>25.27</v>
      </c>
      <c r="M8" s="13">
        <v>0</v>
      </c>
    </row>
    <row r="9" spans="1:13" x14ac:dyDescent="0.25">
      <c r="A9" s="10">
        <v>8</v>
      </c>
      <c r="B9" s="10">
        <v>8</v>
      </c>
      <c r="C9" s="13">
        <v>910899</v>
      </c>
      <c r="D9" s="13">
        <v>910253</v>
      </c>
      <c r="E9" s="9">
        <v>1067.2</v>
      </c>
      <c r="F9" s="9">
        <v>179.1</v>
      </c>
      <c r="G9" s="11">
        <v>1.4661</v>
      </c>
      <c r="H9" s="13">
        <v>3985</v>
      </c>
      <c r="I9" s="13">
        <v>28222</v>
      </c>
      <c r="J9" s="10">
        <v>99</v>
      </c>
      <c r="K9" s="13">
        <v>43</v>
      </c>
      <c r="L9" s="17">
        <v>25.27</v>
      </c>
      <c r="M9" s="13">
        <v>0</v>
      </c>
    </row>
    <row r="10" spans="1:13" x14ac:dyDescent="0.25">
      <c r="A10" s="10">
        <v>9</v>
      </c>
      <c r="B10" s="10">
        <v>9</v>
      </c>
      <c r="C10" s="13">
        <v>910225</v>
      </c>
      <c r="D10" s="13">
        <v>909636</v>
      </c>
      <c r="E10" s="9">
        <v>1065.0999999999999</v>
      </c>
      <c r="F10" s="9">
        <v>177.2</v>
      </c>
      <c r="G10" s="11">
        <v>1.466</v>
      </c>
      <c r="H10" s="13">
        <v>2180</v>
      </c>
      <c r="I10" s="13">
        <v>27947</v>
      </c>
      <c r="J10" s="10">
        <v>101</v>
      </c>
      <c r="K10" s="13">
        <v>32</v>
      </c>
      <c r="L10" s="17">
        <v>25.27</v>
      </c>
      <c r="M10" s="13">
        <v>0</v>
      </c>
    </row>
    <row r="11" spans="1:13" x14ac:dyDescent="0.25">
      <c r="A11" s="10">
        <v>10</v>
      </c>
      <c r="B11" s="10">
        <v>10</v>
      </c>
      <c r="C11" s="13">
        <v>911599</v>
      </c>
      <c r="D11" s="13">
        <v>911044</v>
      </c>
      <c r="E11" s="9">
        <v>1067.8</v>
      </c>
      <c r="F11" s="9">
        <v>178</v>
      </c>
      <c r="G11" s="11">
        <v>1.4659</v>
      </c>
      <c r="H11" s="13">
        <v>3024</v>
      </c>
      <c r="I11" s="13">
        <v>27768</v>
      </c>
      <c r="J11" s="10">
        <v>99</v>
      </c>
      <c r="K11" s="13">
        <v>34</v>
      </c>
      <c r="L11" s="17">
        <v>25.28</v>
      </c>
      <c r="M11" s="13">
        <v>0</v>
      </c>
    </row>
    <row r="12" spans="1:13" x14ac:dyDescent="0.25">
      <c r="A12" s="10">
        <v>11</v>
      </c>
      <c r="B12" s="10">
        <v>11</v>
      </c>
      <c r="C12" s="13">
        <v>909831</v>
      </c>
      <c r="D12" s="13">
        <v>909245</v>
      </c>
      <c r="E12" s="9">
        <v>1069.5</v>
      </c>
      <c r="F12" s="9">
        <v>180.8</v>
      </c>
      <c r="G12" s="11">
        <v>1.4657</v>
      </c>
      <c r="H12" s="13">
        <v>3714</v>
      </c>
      <c r="I12" s="13">
        <v>28184</v>
      </c>
      <c r="J12" s="10">
        <v>101</v>
      </c>
      <c r="K12" s="13">
        <v>34</v>
      </c>
      <c r="L12" s="17">
        <v>25.28</v>
      </c>
      <c r="M12" s="13">
        <v>0</v>
      </c>
    </row>
    <row r="13" spans="1:13" x14ac:dyDescent="0.25">
      <c r="A13" s="10">
        <v>12</v>
      </c>
      <c r="B13" s="10">
        <v>12</v>
      </c>
      <c r="C13" s="13">
        <v>911477</v>
      </c>
      <c r="D13" s="13">
        <v>910948</v>
      </c>
      <c r="E13" s="9">
        <v>1067.5999999999999</v>
      </c>
      <c r="F13" s="9">
        <v>178.4</v>
      </c>
      <c r="G13" s="11">
        <v>1.4656</v>
      </c>
      <c r="H13" s="13">
        <v>3224</v>
      </c>
      <c r="I13" s="13">
        <v>28700</v>
      </c>
      <c r="J13" s="10">
        <v>100</v>
      </c>
      <c r="K13" s="13">
        <v>25</v>
      </c>
      <c r="L13" s="17">
        <v>25.27</v>
      </c>
      <c r="M13" s="13">
        <v>0</v>
      </c>
    </row>
    <row r="14" spans="1:13" x14ac:dyDescent="0.25">
      <c r="A14" s="10">
        <v>13</v>
      </c>
      <c r="B14" s="10">
        <v>13</v>
      </c>
      <c r="C14" s="13">
        <v>910562</v>
      </c>
      <c r="D14" s="13">
        <v>909959</v>
      </c>
      <c r="E14" s="9">
        <v>1067.4000000000001</v>
      </c>
      <c r="F14" s="9">
        <v>178.4</v>
      </c>
      <c r="G14" s="11">
        <v>1.4670000000000001</v>
      </c>
      <c r="H14" s="13">
        <v>2942</v>
      </c>
      <c r="I14" s="13">
        <v>28205</v>
      </c>
      <c r="J14" s="10">
        <v>100</v>
      </c>
      <c r="K14" s="13">
        <v>43</v>
      </c>
      <c r="L14" s="17">
        <v>25.28</v>
      </c>
      <c r="M14" s="13">
        <v>0</v>
      </c>
    </row>
    <row r="15" spans="1:13" x14ac:dyDescent="0.25">
      <c r="A15" s="10">
        <v>14</v>
      </c>
      <c r="B15" s="10">
        <v>14</v>
      </c>
      <c r="C15" s="13">
        <v>910924</v>
      </c>
      <c r="D15" s="13">
        <v>910300</v>
      </c>
      <c r="E15" s="9">
        <v>1066.7</v>
      </c>
      <c r="F15" s="9">
        <v>178.5</v>
      </c>
      <c r="G15" s="11">
        <v>1.4643999999999999</v>
      </c>
      <c r="H15" s="13">
        <v>4846</v>
      </c>
      <c r="I15" s="13">
        <v>27982</v>
      </c>
      <c r="J15" s="10">
        <v>102</v>
      </c>
      <c r="K15" s="13">
        <v>38</v>
      </c>
      <c r="L15" s="17">
        <v>25.27</v>
      </c>
      <c r="M15" s="13">
        <v>0</v>
      </c>
    </row>
    <row r="16" spans="1:13" x14ac:dyDescent="0.25">
      <c r="A16" s="10">
        <v>15</v>
      </c>
      <c r="B16" s="10">
        <v>15</v>
      </c>
      <c r="C16" s="13">
        <v>910877</v>
      </c>
      <c r="D16" s="13">
        <v>910276</v>
      </c>
      <c r="E16" s="9">
        <v>1068.0999999999999</v>
      </c>
      <c r="F16" s="9">
        <v>179.3</v>
      </c>
      <c r="G16" s="11">
        <v>1.4651000000000001</v>
      </c>
      <c r="H16" s="13">
        <v>4390</v>
      </c>
      <c r="I16" s="13">
        <v>28114</v>
      </c>
      <c r="J16" s="10">
        <v>100</v>
      </c>
      <c r="K16" s="13">
        <v>44</v>
      </c>
      <c r="L16" s="17">
        <v>25.27</v>
      </c>
      <c r="M16" s="13">
        <v>0</v>
      </c>
    </row>
    <row r="17" spans="1:13" x14ac:dyDescent="0.25">
      <c r="A17" s="10">
        <v>16</v>
      </c>
      <c r="B17" s="10">
        <v>16</v>
      </c>
      <c r="C17" s="13">
        <v>910563</v>
      </c>
      <c r="D17" s="13">
        <v>909846</v>
      </c>
      <c r="E17" s="9">
        <v>1065</v>
      </c>
      <c r="F17" s="9">
        <v>175.9</v>
      </c>
      <c r="G17" s="11">
        <v>1.4650000000000001</v>
      </c>
      <c r="H17" s="13">
        <v>1832</v>
      </c>
      <c r="I17" s="13">
        <v>28000</v>
      </c>
      <c r="J17" s="10">
        <v>100</v>
      </c>
      <c r="K17" s="13">
        <v>42</v>
      </c>
      <c r="L17" s="17">
        <v>25.26</v>
      </c>
      <c r="M17" s="13">
        <v>0</v>
      </c>
    </row>
    <row r="18" spans="1:13" x14ac:dyDescent="0.25">
      <c r="A18" s="10">
        <v>17</v>
      </c>
      <c r="B18" s="10">
        <v>17</v>
      </c>
      <c r="C18" s="13">
        <v>912830</v>
      </c>
      <c r="D18" s="13">
        <v>912309</v>
      </c>
      <c r="E18" s="9">
        <v>1067.3</v>
      </c>
      <c r="F18" s="9">
        <v>178.5</v>
      </c>
      <c r="G18" s="11">
        <v>1.4657</v>
      </c>
      <c r="H18" s="13">
        <v>3439</v>
      </c>
      <c r="I18" s="13">
        <v>27840</v>
      </c>
      <c r="J18" s="10">
        <v>100</v>
      </c>
      <c r="K18" s="13">
        <v>51</v>
      </c>
      <c r="L18" s="17">
        <v>25.27</v>
      </c>
      <c r="M18" s="13">
        <v>0</v>
      </c>
    </row>
    <row r="19" spans="1:13" x14ac:dyDescent="0.25">
      <c r="A19" s="10">
        <v>18</v>
      </c>
      <c r="B19" s="10">
        <v>18</v>
      </c>
      <c r="C19" s="13">
        <v>911203</v>
      </c>
      <c r="D19" s="13">
        <v>910647</v>
      </c>
      <c r="E19" s="9">
        <v>1067.5</v>
      </c>
      <c r="F19" s="9">
        <v>178.1</v>
      </c>
      <c r="G19" s="11">
        <v>1.4666999999999999</v>
      </c>
      <c r="H19" s="13">
        <v>4503</v>
      </c>
      <c r="I19" s="13">
        <v>28275</v>
      </c>
      <c r="J19" s="10">
        <v>100</v>
      </c>
      <c r="K19" s="13">
        <v>39</v>
      </c>
      <c r="L19" s="17">
        <v>25.27</v>
      </c>
      <c r="M19" s="13">
        <v>0</v>
      </c>
    </row>
    <row r="20" spans="1:13" x14ac:dyDescent="0.25">
      <c r="A20" s="10">
        <v>19</v>
      </c>
      <c r="B20" s="10">
        <v>19</v>
      </c>
      <c r="C20" s="13">
        <v>908684</v>
      </c>
      <c r="D20" s="13">
        <v>908080</v>
      </c>
      <c r="E20" s="9">
        <v>1067.7</v>
      </c>
      <c r="F20" s="9">
        <v>179</v>
      </c>
      <c r="G20" s="11">
        <v>1.4654</v>
      </c>
      <c r="H20" s="13">
        <v>3283</v>
      </c>
      <c r="I20" s="13">
        <v>28160</v>
      </c>
      <c r="J20" s="10">
        <v>99</v>
      </c>
      <c r="K20" s="13">
        <v>40</v>
      </c>
      <c r="L20" s="17">
        <v>25.28</v>
      </c>
      <c r="M20" s="13">
        <v>0</v>
      </c>
    </row>
    <row r="21" spans="1:13" x14ac:dyDescent="0.25">
      <c r="A21" s="10">
        <v>20</v>
      </c>
      <c r="B21" s="10">
        <v>20</v>
      </c>
      <c r="C21" s="13">
        <v>910743</v>
      </c>
      <c r="D21" s="13">
        <v>910173</v>
      </c>
      <c r="E21" s="9">
        <v>1069.3</v>
      </c>
      <c r="F21" s="9">
        <v>180.2</v>
      </c>
      <c r="G21" s="11">
        <v>1.4674</v>
      </c>
      <c r="H21" s="13">
        <v>4475</v>
      </c>
      <c r="I21" s="13">
        <v>28174</v>
      </c>
      <c r="J21" s="10">
        <v>99</v>
      </c>
      <c r="K21" s="13">
        <v>41</v>
      </c>
      <c r="L21" s="17">
        <v>25.27</v>
      </c>
      <c r="M21" s="13">
        <v>0</v>
      </c>
    </row>
    <row r="22" spans="1:13" x14ac:dyDescent="0.25">
      <c r="A22" s="10">
        <v>21</v>
      </c>
      <c r="B22" s="10">
        <v>21</v>
      </c>
      <c r="C22" s="13">
        <v>910809</v>
      </c>
      <c r="D22" s="13">
        <v>910239</v>
      </c>
      <c r="E22" s="9">
        <v>1069.5</v>
      </c>
      <c r="F22" s="9">
        <v>180.3</v>
      </c>
      <c r="G22" s="11">
        <v>1.4649000000000001</v>
      </c>
      <c r="H22" s="13">
        <v>4932</v>
      </c>
      <c r="I22" s="13">
        <v>28117</v>
      </c>
      <c r="J22" s="10">
        <v>103</v>
      </c>
      <c r="K22" s="13">
        <v>41</v>
      </c>
      <c r="L22" s="17">
        <v>25.28</v>
      </c>
      <c r="M22" s="13">
        <v>0</v>
      </c>
    </row>
    <row r="23" spans="1:13" x14ac:dyDescent="0.25">
      <c r="A23" s="10">
        <v>22</v>
      </c>
      <c r="B23" s="10">
        <v>22</v>
      </c>
      <c r="C23" s="13">
        <v>910469</v>
      </c>
      <c r="D23" s="13">
        <v>909833</v>
      </c>
      <c r="E23" s="9">
        <v>1064.9000000000001</v>
      </c>
      <c r="F23" s="9">
        <v>176</v>
      </c>
      <c r="G23" s="11">
        <v>1.4650000000000001</v>
      </c>
      <c r="H23" s="13">
        <v>3191</v>
      </c>
      <c r="I23" s="13">
        <v>28527</v>
      </c>
      <c r="J23" s="10">
        <v>100</v>
      </c>
      <c r="K23" s="13">
        <v>47</v>
      </c>
      <c r="L23" s="17">
        <v>25.27</v>
      </c>
      <c r="M23" s="13">
        <v>0</v>
      </c>
    </row>
    <row r="24" spans="1:13" x14ac:dyDescent="0.25">
      <c r="A24" s="10">
        <v>23</v>
      </c>
      <c r="B24" s="10">
        <v>23</v>
      </c>
      <c r="C24" s="13">
        <v>912061</v>
      </c>
      <c r="D24" s="13">
        <v>911450</v>
      </c>
      <c r="E24" s="9">
        <v>1066.5999999999999</v>
      </c>
      <c r="F24" s="9">
        <v>177.9</v>
      </c>
      <c r="G24" s="11">
        <v>1.4650000000000001</v>
      </c>
      <c r="H24" s="13">
        <v>3958</v>
      </c>
      <c r="I24" s="13">
        <v>28260</v>
      </c>
      <c r="J24" s="10">
        <v>102</v>
      </c>
      <c r="K24" s="13">
        <v>17</v>
      </c>
      <c r="L24" s="17">
        <v>25.27</v>
      </c>
      <c r="M24" s="13">
        <v>0</v>
      </c>
    </row>
    <row r="25" spans="1:13" x14ac:dyDescent="0.25">
      <c r="A25" s="10">
        <v>24</v>
      </c>
      <c r="B25" s="10">
        <v>24</v>
      </c>
      <c r="C25" s="13">
        <v>909714</v>
      </c>
      <c r="D25" s="13">
        <v>909166</v>
      </c>
      <c r="E25" s="9">
        <v>1069</v>
      </c>
      <c r="F25" s="9">
        <v>180.2</v>
      </c>
      <c r="G25" s="11">
        <v>1.4646999999999999</v>
      </c>
      <c r="H25" s="13">
        <v>4702</v>
      </c>
      <c r="I25" s="13">
        <v>28143</v>
      </c>
      <c r="J25" s="10">
        <v>99</v>
      </c>
      <c r="K25" s="13">
        <v>24</v>
      </c>
      <c r="L25" s="17">
        <v>25.28</v>
      </c>
      <c r="M25" s="13">
        <v>0</v>
      </c>
    </row>
    <row r="26" spans="1:13" x14ac:dyDescent="0.25">
      <c r="A26" s="10">
        <v>25</v>
      </c>
      <c r="B26" s="10">
        <v>25</v>
      </c>
      <c r="C26" s="13">
        <v>912533</v>
      </c>
      <c r="D26" s="13">
        <v>911937</v>
      </c>
      <c r="E26" s="9">
        <v>1065.4000000000001</v>
      </c>
      <c r="F26" s="9">
        <v>176.5</v>
      </c>
      <c r="G26" s="11">
        <v>1.4650000000000001</v>
      </c>
      <c r="H26" s="13">
        <v>4215</v>
      </c>
      <c r="I26" s="13">
        <v>28414</v>
      </c>
      <c r="J26" s="10">
        <v>100</v>
      </c>
      <c r="K26" s="13">
        <v>37</v>
      </c>
      <c r="L26" s="17">
        <v>25.27</v>
      </c>
      <c r="M26" s="13">
        <v>0</v>
      </c>
    </row>
    <row r="27" spans="1:13" x14ac:dyDescent="0.25">
      <c r="A27" s="10">
        <v>26</v>
      </c>
      <c r="B27" s="10">
        <v>26</v>
      </c>
      <c r="C27" s="13">
        <v>909572</v>
      </c>
      <c r="D27" s="13">
        <v>908967</v>
      </c>
      <c r="E27" s="9">
        <v>1067.3</v>
      </c>
      <c r="F27" s="9">
        <v>178.3</v>
      </c>
      <c r="G27" s="11">
        <v>1.4665999999999999</v>
      </c>
      <c r="H27" s="13">
        <v>5107</v>
      </c>
      <c r="I27" s="13">
        <v>28416</v>
      </c>
      <c r="J27" s="10">
        <v>99</v>
      </c>
      <c r="K27" s="13">
        <v>50</v>
      </c>
      <c r="L27" s="17">
        <v>25.26</v>
      </c>
      <c r="M27" s="13">
        <v>0</v>
      </c>
    </row>
    <row r="28" spans="1:13" x14ac:dyDescent="0.25">
      <c r="A28" s="10">
        <v>27</v>
      </c>
      <c r="B28" s="10">
        <v>27</v>
      </c>
      <c r="C28" s="13">
        <v>911559</v>
      </c>
      <c r="D28" s="13">
        <v>910973</v>
      </c>
      <c r="E28" s="9">
        <v>1068.8</v>
      </c>
      <c r="F28" s="9">
        <v>179</v>
      </c>
      <c r="G28" s="11">
        <v>1.4663999999999999</v>
      </c>
      <c r="H28" s="13">
        <v>3867</v>
      </c>
      <c r="I28" s="13">
        <v>28250</v>
      </c>
      <c r="J28" s="10">
        <v>99</v>
      </c>
      <c r="K28" s="13">
        <v>31</v>
      </c>
      <c r="L28" s="17">
        <v>25.27</v>
      </c>
      <c r="M28" s="13">
        <v>0</v>
      </c>
    </row>
    <row r="29" spans="1:13" x14ac:dyDescent="0.25">
      <c r="A29" s="10">
        <v>28</v>
      </c>
      <c r="B29" s="10">
        <v>28</v>
      </c>
      <c r="C29" s="13">
        <v>913397</v>
      </c>
      <c r="D29" s="13">
        <v>912807</v>
      </c>
      <c r="E29" s="9">
        <v>1070</v>
      </c>
      <c r="F29" s="9">
        <v>180.9</v>
      </c>
      <c r="G29" s="11">
        <v>1.4651000000000001</v>
      </c>
      <c r="H29" s="13">
        <v>6864</v>
      </c>
      <c r="I29" s="13">
        <v>28847</v>
      </c>
      <c r="J29" s="10">
        <v>100</v>
      </c>
      <c r="K29" s="13">
        <v>36</v>
      </c>
      <c r="L29" s="17">
        <v>25.28</v>
      </c>
      <c r="M29" s="13">
        <v>0</v>
      </c>
    </row>
    <row r="30" spans="1:13" x14ac:dyDescent="0.25">
      <c r="A30" s="10">
        <v>29</v>
      </c>
      <c r="B30" s="10">
        <v>29</v>
      </c>
      <c r="C30" s="13">
        <v>911343</v>
      </c>
      <c r="D30" s="13">
        <v>910762</v>
      </c>
      <c r="E30" s="9">
        <v>1071</v>
      </c>
      <c r="F30" s="9">
        <v>181.3</v>
      </c>
      <c r="G30" s="11">
        <v>1.4654</v>
      </c>
      <c r="H30" s="13">
        <v>3414</v>
      </c>
      <c r="I30" s="13">
        <v>28347</v>
      </c>
      <c r="J30" s="10">
        <v>99</v>
      </c>
      <c r="K30" s="13">
        <v>57</v>
      </c>
      <c r="L30" s="17">
        <v>25.28</v>
      </c>
      <c r="M30" s="13">
        <v>0</v>
      </c>
    </row>
    <row r="31" spans="1:13" x14ac:dyDescent="0.25">
      <c r="A31" s="10">
        <v>30</v>
      </c>
      <c r="B31" s="10">
        <v>30</v>
      </c>
      <c r="C31" s="13">
        <v>910281</v>
      </c>
      <c r="D31" s="13">
        <v>909679</v>
      </c>
      <c r="E31" s="9">
        <v>1066.2</v>
      </c>
      <c r="F31" s="9">
        <v>177.5</v>
      </c>
      <c r="G31" s="11">
        <v>1.4649000000000001</v>
      </c>
      <c r="H31" s="13">
        <v>4425</v>
      </c>
      <c r="I31" s="13">
        <v>28953</v>
      </c>
      <c r="J31" s="10">
        <v>101</v>
      </c>
      <c r="K31" s="13">
        <v>60</v>
      </c>
      <c r="L31" s="17">
        <v>25.26</v>
      </c>
      <c r="M31" s="13">
        <v>0</v>
      </c>
    </row>
    <row r="32" spans="1:13" x14ac:dyDescent="0.25">
      <c r="A32" s="10">
        <v>31</v>
      </c>
      <c r="B32" s="10">
        <v>31</v>
      </c>
      <c r="C32" s="13">
        <v>910182</v>
      </c>
      <c r="D32" s="13">
        <v>909649</v>
      </c>
      <c r="E32" s="9">
        <v>1065.5999999999999</v>
      </c>
      <c r="F32" s="9">
        <v>176.7</v>
      </c>
      <c r="G32" s="11">
        <v>1.4651000000000001</v>
      </c>
      <c r="H32" s="13">
        <v>3201</v>
      </c>
      <c r="I32" s="13">
        <v>28176</v>
      </c>
      <c r="J32" s="10">
        <v>100</v>
      </c>
      <c r="K32" s="13">
        <v>43</v>
      </c>
      <c r="L32" s="17">
        <v>25.27</v>
      </c>
      <c r="M32" s="13">
        <v>0</v>
      </c>
    </row>
    <row r="33" spans="1:13" x14ac:dyDescent="0.25">
      <c r="A33" s="10">
        <v>32</v>
      </c>
      <c r="B33" s="10">
        <v>32</v>
      </c>
      <c r="C33" s="13">
        <v>911679</v>
      </c>
      <c r="D33" s="13">
        <v>911077</v>
      </c>
      <c r="E33" s="9">
        <v>1069.4000000000001</v>
      </c>
      <c r="F33" s="9">
        <v>179.6</v>
      </c>
      <c r="G33" s="11">
        <v>1.4659</v>
      </c>
      <c r="H33" s="13">
        <v>2422</v>
      </c>
      <c r="I33" s="13">
        <v>28222</v>
      </c>
      <c r="J33" s="10">
        <v>102</v>
      </c>
      <c r="K33" s="13">
        <v>42</v>
      </c>
      <c r="L33" s="17">
        <v>25.28</v>
      </c>
      <c r="M33" s="13">
        <v>0</v>
      </c>
    </row>
    <row r="34" spans="1:13" x14ac:dyDescent="0.25">
      <c r="A34" s="10">
        <v>33</v>
      </c>
      <c r="B34" s="10">
        <v>33</v>
      </c>
      <c r="C34" s="13">
        <v>910733</v>
      </c>
      <c r="D34" s="13">
        <v>910117</v>
      </c>
      <c r="E34" s="9">
        <v>1068.3</v>
      </c>
      <c r="F34" s="9">
        <v>178.7</v>
      </c>
      <c r="G34" s="11">
        <v>1.4657</v>
      </c>
      <c r="H34" s="13">
        <v>2605</v>
      </c>
      <c r="I34" s="13">
        <v>28625</v>
      </c>
      <c r="J34" s="10">
        <v>100</v>
      </c>
      <c r="K34" s="13">
        <v>31</v>
      </c>
      <c r="L34" s="17">
        <v>25.28</v>
      </c>
      <c r="M34" s="13">
        <v>0</v>
      </c>
    </row>
    <row r="35" spans="1:13" x14ac:dyDescent="0.25">
      <c r="A35" s="10">
        <v>34</v>
      </c>
      <c r="B35" s="10">
        <v>34</v>
      </c>
      <c r="C35" s="13">
        <v>911176</v>
      </c>
      <c r="D35" s="13">
        <v>910629</v>
      </c>
      <c r="E35" s="9">
        <v>1064.4000000000001</v>
      </c>
      <c r="F35" s="9">
        <v>175.4</v>
      </c>
      <c r="G35" s="11">
        <v>1.4652000000000001</v>
      </c>
      <c r="H35" s="13">
        <v>3104</v>
      </c>
      <c r="I35" s="13">
        <v>27819</v>
      </c>
      <c r="J35" s="10">
        <v>100</v>
      </c>
      <c r="K35" s="13">
        <v>20</v>
      </c>
      <c r="L35" s="17">
        <v>25.27</v>
      </c>
      <c r="M35" s="13">
        <v>0</v>
      </c>
    </row>
    <row r="36" spans="1:13" x14ac:dyDescent="0.25">
      <c r="A36" s="10">
        <v>35</v>
      </c>
      <c r="B36" s="10">
        <v>35</v>
      </c>
      <c r="C36" s="13">
        <v>910172</v>
      </c>
      <c r="D36" s="13">
        <v>909538</v>
      </c>
      <c r="E36" s="9">
        <v>1075.3</v>
      </c>
      <c r="F36" s="9">
        <v>186.2</v>
      </c>
      <c r="G36" s="11">
        <v>1.4658</v>
      </c>
      <c r="H36" s="13">
        <v>17373</v>
      </c>
      <c r="I36" s="13">
        <v>29224</v>
      </c>
      <c r="J36" s="10">
        <v>98</v>
      </c>
      <c r="K36" s="13">
        <v>43</v>
      </c>
      <c r="L36" s="17">
        <v>25.28</v>
      </c>
      <c r="M36" s="13">
        <v>0</v>
      </c>
    </row>
    <row r="37" spans="1:13" x14ac:dyDescent="0.25">
      <c r="A37" s="10">
        <v>36</v>
      </c>
      <c r="B37" s="10">
        <v>36</v>
      </c>
      <c r="C37" s="13">
        <v>911001</v>
      </c>
      <c r="D37" s="13">
        <v>910359</v>
      </c>
      <c r="E37" s="9">
        <v>1067.4000000000001</v>
      </c>
      <c r="F37" s="9">
        <v>177.3</v>
      </c>
      <c r="G37" s="11">
        <v>1.4662999999999999</v>
      </c>
      <c r="H37" s="13">
        <v>3262</v>
      </c>
      <c r="I37" s="13">
        <v>28170</v>
      </c>
      <c r="J37" s="10">
        <v>100</v>
      </c>
      <c r="K37" s="13">
        <v>65</v>
      </c>
      <c r="L37" s="17">
        <v>25.27</v>
      </c>
      <c r="M37" s="13">
        <v>0</v>
      </c>
    </row>
    <row r="38" spans="1:13" x14ac:dyDescent="0.25">
      <c r="A38" s="10">
        <v>37</v>
      </c>
      <c r="B38" s="10">
        <v>37</v>
      </c>
      <c r="C38" s="13">
        <v>911271</v>
      </c>
      <c r="D38" s="13">
        <v>910692</v>
      </c>
      <c r="E38" s="9">
        <v>1069.4000000000001</v>
      </c>
      <c r="F38" s="9">
        <v>180.9</v>
      </c>
      <c r="G38" s="11">
        <v>1.4657</v>
      </c>
      <c r="H38" s="13">
        <v>5975</v>
      </c>
      <c r="I38" s="13">
        <v>28358</v>
      </c>
      <c r="J38" s="10">
        <v>99</v>
      </c>
      <c r="K38" s="13">
        <v>48</v>
      </c>
      <c r="L38" s="17">
        <v>25.27</v>
      </c>
      <c r="M38" s="13">
        <v>0</v>
      </c>
    </row>
    <row r="39" spans="1:13" x14ac:dyDescent="0.25">
      <c r="A39" s="10">
        <v>38</v>
      </c>
      <c r="B39" s="10">
        <v>38</v>
      </c>
      <c r="C39" s="13">
        <v>911378</v>
      </c>
      <c r="D39" s="13">
        <v>910830</v>
      </c>
      <c r="E39" s="9">
        <v>1070.3</v>
      </c>
      <c r="F39" s="9">
        <v>181.4</v>
      </c>
      <c r="G39" s="11">
        <v>1.4659</v>
      </c>
      <c r="H39" s="13">
        <v>5881</v>
      </c>
      <c r="I39" s="13">
        <v>28681</v>
      </c>
      <c r="J39" s="10">
        <v>100</v>
      </c>
      <c r="K39" s="13">
        <v>48</v>
      </c>
      <c r="L39" s="17">
        <v>25.27</v>
      </c>
      <c r="M39" s="13">
        <v>0</v>
      </c>
    </row>
    <row r="40" spans="1:13" x14ac:dyDescent="0.25">
      <c r="A40" s="10">
        <v>39</v>
      </c>
      <c r="B40" s="10">
        <v>39</v>
      </c>
      <c r="C40" s="13">
        <v>911923</v>
      </c>
      <c r="D40" s="13">
        <v>911278</v>
      </c>
      <c r="E40" s="9">
        <v>1066.5999999999999</v>
      </c>
      <c r="F40" s="9">
        <v>177.6</v>
      </c>
      <c r="G40" s="11">
        <v>1.4652000000000001</v>
      </c>
      <c r="H40" s="13">
        <v>3506</v>
      </c>
      <c r="I40" s="13">
        <v>28601</v>
      </c>
      <c r="J40" s="10">
        <v>99</v>
      </c>
      <c r="K40" s="13">
        <v>28</v>
      </c>
      <c r="L40" s="17">
        <v>25.27</v>
      </c>
      <c r="M40" s="13">
        <v>0</v>
      </c>
    </row>
    <row r="41" spans="1:13" x14ac:dyDescent="0.25">
      <c r="A41" s="10">
        <v>40</v>
      </c>
      <c r="B41" s="10">
        <v>40</v>
      </c>
      <c r="C41" s="13">
        <v>911211</v>
      </c>
      <c r="D41" s="13">
        <v>910620</v>
      </c>
      <c r="E41" s="9">
        <v>1070.5</v>
      </c>
      <c r="F41" s="9">
        <v>181</v>
      </c>
      <c r="G41" s="11">
        <v>1.4663999999999999</v>
      </c>
      <c r="H41" s="13">
        <v>6267</v>
      </c>
      <c r="I41" s="13">
        <v>28180</v>
      </c>
      <c r="J41" s="10">
        <v>100</v>
      </c>
      <c r="K41" s="13">
        <v>45</v>
      </c>
      <c r="L41" s="17">
        <v>25.27</v>
      </c>
      <c r="M41" s="13">
        <v>0</v>
      </c>
    </row>
    <row r="42" spans="1:13" x14ac:dyDescent="0.25">
      <c r="A42" s="10">
        <v>41</v>
      </c>
      <c r="B42" s="10">
        <v>41</v>
      </c>
      <c r="C42" s="13">
        <v>911598</v>
      </c>
      <c r="D42" s="13">
        <v>910995</v>
      </c>
      <c r="E42" s="9">
        <v>1069.3</v>
      </c>
      <c r="F42" s="9">
        <v>180</v>
      </c>
      <c r="G42" s="11">
        <v>1.466</v>
      </c>
      <c r="H42" s="13">
        <v>3575</v>
      </c>
      <c r="I42" s="13">
        <v>28219</v>
      </c>
      <c r="J42" s="10">
        <v>98</v>
      </c>
      <c r="K42" s="13">
        <v>42</v>
      </c>
      <c r="L42" s="17">
        <v>25.28</v>
      </c>
      <c r="M42" s="13">
        <v>0</v>
      </c>
    </row>
    <row r="43" spans="1:13" x14ac:dyDescent="0.25">
      <c r="A43" s="10">
        <v>42</v>
      </c>
      <c r="B43" s="10">
        <v>42</v>
      </c>
      <c r="C43" s="13">
        <v>910866</v>
      </c>
      <c r="D43" s="13">
        <v>910312</v>
      </c>
      <c r="E43" s="9">
        <v>1069.4000000000001</v>
      </c>
      <c r="F43" s="9">
        <v>180.9</v>
      </c>
      <c r="G43" s="11">
        <v>1.4654</v>
      </c>
      <c r="H43" s="13">
        <v>4879</v>
      </c>
      <c r="I43" s="13">
        <v>28579</v>
      </c>
      <c r="J43" s="10">
        <v>99</v>
      </c>
      <c r="K43" s="13">
        <v>26</v>
      </c>
      <c r="L43" s="17">
        <v>25.28</v>
      </c>
      <c r="M43" s="13">
        <v>0</v>
      </c>
    </row>
    <row r="44" spans="1:13" x14ac:dyDescent="0.25">
      <c r="A44" s="10">
        <v>43</v>
      </c>
      <c r="B44" s="10">
        <v>43</v>
      </c>
      <c r="C44" s="13">
        <v>910435</v>
      </c>
      <c r="D44" s="13">
        <v>909840</v>
      </c>
      <c r="E44" s="9">
        <v>1068.0999999999999</v>
      </c>
      <c r="F44" s="9">
        <v>179.4</v>
      </c>
      <c r="G44" s="11">
        <v>1.4656</v>
      </c>
      <c r="H44" s="13">
        <v>6279</v>
      </c>
      <c r="I44" s="13">
        <v>28269</v>
      </c>
      <c r="J44" s="10">
        <v>100</v>
      </c>
      <c r="K44" s="13">
        <v>36</v>
      </c>
      <c r="L44" s="17">
        <v>25.27</v>
      </c>
      <c r="M44" s="13">
        <v>0</v>
      </c>
    </row>
    <row r="45" spans="1:13" x14ac:dyDescent="0.25">
      <c r="A45" s="10">
        <v>44</v>
      </c>
      <c r="B45" s="10">
        <v>44</v>
      </c>
      <c r="C45" s="13">
        <v>911667</v>
      </c>
      <c r="D45" s="13">
        <v>911136</v>
      </c>
      <c r="E45" s="9">
        <v>1068.9000000000001</v>
      </c>
      <c r="F45" s="9">
        <v>180</v>
      </c>
      <c r="G45" s="11">
        <v>1.4664999999999999</v>
      </c>
      <c r="H45" s="13">
        <v>4581</v>
      </c>
      <c r="I45" s="13">
        <v>27963</v>
      </c>
      <c r="J45" s="10">
        <v>102</v>
      </c>
      <c r="K45" s="13">
        <v>34</v>
      </c>
      <c r="L45" s="17">
        <v>25.27</v>
      </c>
      <c r="M45" s="13">
        <v>0</v>
      </c>
    </row>
    <row r="46" spans="1:13" x14ac:dyDescent="0.25">
      <c r="A46" s="10">
        <v>45</v>
      </c>
      <c r="B46" s="10">
        <v>45</v>
      </c>
      <c r="C46" s="13">
        <v>910043</v>
      </c>
      <c r="D46" s="13">
        <v>909437</v>
      </c>
      <c r="E46" s="9">
        <v>1067.9000000000001</v>
      </c>
      <c r="F46" s="9">
        <v>179.3</v>
      </c>
      <c r="G46" s="11">
        <v>1.4656</v>
      </c>
      <c r="H46" s="13">
        <v>5507</v>
      </c>
      <c r="I46" s="13">
        <v>28249</v>
      </c>
      <c r="J46" s="10">
        <v>100</v>
      </c>
      <c r="K46" s="13">
        <v>27</v>
      </c>
      <c r="L46" s="17">
        <v>25.27</v>
      </c>
      <c r="M46" s="13">
        <v>0</v>
      </c>
    </row>
    <row r="47" spans="1:13" x14ac:dyDescent="0.25">
      <c r="A47" s="10">
        <v>46</v>
      </c>
      <c r="B47" s="10">
        <v>46</v>
      </c>
      <c r="C47" s="13">
        <v>910419</v>
      </c>
      <c r="D47" s="13">
        <v>909792</v>
      </c>
      <c r="E47" s="9">
        <v>1069.3</v>
      </c>
      <c r="F47" s="9">
        <v>180</v>
      </c>
      <c r="G47" s="11">
        <v>1.4656</v>
      </c>
      <c r="H47" s="13">
        <v>8081</v>
      </c>
      <c r="I47" s="13">
        <v>28135</v>
      </c>
      <c r="J47" s="10">
        <v>100</v>
      </c>
      <c r="K47" s="13">
        <v>30</v>
      </c>
      <c r="L47" s="17">
        <v>25.27</v>
      </c>
      <c r="M47" s="13">
        <v>0</v>
      </c>
    </row>
    <row r="48" spans="1:13" x14ac:dyDescent="0.25">
      <c r="A48" s="10">
        <v>47</v>
      </c>
      <c r="B48" s="10">
        <v>47</v>
      </c>
      <c r="C48" s="13">
        <v>912453</v>
      </c>
      <c r="D48" s="13">
        <v>911944</v>
      </c>
      <c r="E48" s="9">
        <v>1068.3</v>
      </c>
      <c r="F48" s="9">
        <v>179.7</v>
      </c>
      <c r="G48" s="11">
        <v>1.4651000000000001</v>
      </c>
      <c r="H48" s="13">
        <v>6325</v>
      </c>
      <c r="I48" s="13">
        <v>28705</v>
      </c>
      <c r="J48" s="10">
        <v>100</v>
      </c>
      <c r="K48" s="13">
        <v>42</v>
      </c>
      <c r="L48" s="17">
        <v>25.27</v>
      </c>
      <c r="M48" s="13">
        <v>0</v>
      </c>
    </row>
    <row r="49" spans="1:13" x14ac:dyDescent="0.25">
      <c r="A49" s="10">
        <v>48</v>
      </c>
      <c r="B49" s="10">
        <v>48</v>
      </c>
      <c r="C49" s="13">
        <v>912526</v>
      </c>
      <c r="D49" s="13">
        <v>911838</v>
      </c>
      <c r="E49" s="9">
        <v>1071.8</v>
      </c>
      <c r="F49" s="9">
        <v>182.7</v>
      </c>
      <c r="G49" s="11">
        <v>1.4651000000000001</v>
      </c>
      <c r="H49" s="13">
        <v>8412</v>
      </c>
      <c r="I49" s="13">
        <v>28461</v>
      </c>
      <c r="J49" s="10">
        <v>99</v>
      </c>
      <c r="K49" s="13">
        <v>34</v>
      </c>
      <c r="L49" s="17">
        <v>25.28</v>
      </c>
      <c r="M49" s="13">
        <v>0</v>
      </c>
    </row>
    <row r="50" spans="1:13" x14ac:dyDescent="0.25">
      <c r="A50" s="10">
        <v>49</v>
      </c>
      <c r="B50" s="10">
        <v>49</v>
      </c>
      <c r="C50" s="13">
        <v>910390</v>
      </c>
      <c r="D50" s="13">
        <v>909775</v>
      </c>
      <c r="E50" s="9">
        <v>1067.3</v>
      </c>
      <c r="F50" s="9">
        <v>178.2</v>
      </c>
      <c r="G50" s="11">
        <v>1.4649000000000001</v>
      </c>
      <c r="H50" s="13">
        <v>6337</v>
      </c>
      <c r="I50" s="13">
        <v>28598</v>
      </c>
      <c r="J50" s="10">
        <v>99</v>
      </c>
      <c r="K50" s="13">
        <v>38</v>
      </c>
      <c r="L50" s="17">
        <v>25.27</v>
      </c>
      <c r="M50" s="13">
        <v>0</v>
      </c>
    </row>
    <row r="51" spans="1:13" x14ac:dyDescent="0.25">
      <c r="A51" s="10">
        <v>50</v>
      </c>
      <c r="B51" s="10">
        <v>50</v>
      </c>
      <c r="C51" s="13">
        <v>911522</v>
      </c>
      <c r="D51" s="13">
        <v>911035</v>
      </c>
      <c r="E51" s="9">
        <v>1066</v>
      </c>
      <c r="F51" s="9">
        <v>177</v>
      </c>
      <c r="G51" s="11">
        <v>1.4661</v>
      </c>
      <c r="H51" s="13">
        <v>1261</v>
      </c>
      <c r="I51" s="13">
        <v>28185</v>
      </c>
      <c r="J51" s="10">
        <v>101</v>
      </c>
      <c r="K51" s="13">
        <v>26</v>
      </c>
      <c r="L51" s="17">
        <v>25.27</v>
      </c>
      <c r="M51" s="13">
        <v>0</v>
      </c>
    </row>
    <row r="52" spans="1:13" x14ac:dyDescent="0.25">
      <c r="A52" s="10">
        <v>51</v>
      </c>
      <c r="B52" s="10">
        <v>51</v>
      </c>
      <c r="C52" s="13">
        <v>911632</v>
      </c>
      <c r="D52" s="13">
        <v>911021</v>
      </c>
      <c r="E52" s="9">
        <v>1069.2</v>
      </c>
      <c r="F52" s="9">
        <v>180.9</v>
      </c>
      <c r="G52" s="11">
        <v>1.4650000000000001</v>
      </c>
      <c r="H52" s="13">
        <v>3076</v>
      </c>
      <c r="I52" s="13">
        <v>28017</v>
      </c>
      <c r="J52" s="10">
        <v>102</v>
      </c>
      <c r="K52" s="13">
        <v>35</v>
      </c>
      <c r="L52" s="17">
        <v>25.28</v>
      </c>
      <c r="M52" s="13">
        <v>0</v>
      </c>
    </row>
    <row r="53" spans="1:13" x14ac:dyDescent="0.25">
      <c r="A53" s="10">
        <v>52</v>
      </c>
      <c r="B53" s="10">
        <v>52</v>
      </c>
      <c r="C53" s="13">
        <v>910416</v>
      </c>
      <c r="D53" s="13">
        <v>909809</v>
      </c>
      <c r="E53" s="9">
        <v>1066.8</v>
      </c>
      <c r="F53" s="9">
        <v>178.4</v>
      </c>
      <c r="G53" s="11">
        <v>1.4654</v>
      </c>
      <c r="H53" s="13">
        <v>4131</v>
      </c>
      <c r="I53" s="13">
        <v>28196</v>
      </c>
      <c r="J53" s="10">
        <v>103</v>
      </c>
      <c r="K53" s="13">
        <v>41</v>
      </c>
      <c r="L53" s="17">
        <v>25.27</v>
      </c>
      <c r="M53" s="13">
        <v>0</v>
      </c>
    </row>
    <row r="54" spans="1:13" x14ac:dyDescent="0.25">
      <c r="A54" s="10">
        <v>53</v>
      </c>
      <c r="B54" s="10">
        <v>53</v>
      </c>
      <c r="C54" s="13">
        <v>911036</v>
      </c>
      <c r="D54" s="13">
        <v>910428</v>
      </c>
      <c r="E54" s="9">
        <v>1068.8</v>
      </c>
      <c r="F54" s="9">
        <v>179.7</v>
      </c>
      <c r="G54" s="11">
        <v>1.4665999999999999</v>
      </c>
      <c r="H54" s="13">
        <v>5715</v>
      </c>
      <c r="I54" s="13">
        <v>27940</v>
      </c>
      <c r="J54" s="10">
        <v>101</v>
      </c>
      <c r="K54" s="13">
        <v>47</v>
      </c>
      <c r="L54" s="17">
        <v>25.27</v>
      </c>
      <c r="M54" s="13">
        <v>0</v>
      </c>
    </row>
    <row r="55" spans="1:13" x14ac:dyDescent="0.25">
      <c r="A55" s="10">
        <v>54</v>
      </c>
      <c r="B55" s="10">
        <v>54</v>
      </c>
      <c r="C55" s="13">
        <v>911271</v>
      </c>
      <c r="D55" s="13">
        <v>910658</v>
      </c>
      <c r="E55" s="9">
        <v>1068.2</v>
      </c>
      <c r="F55" s="9">
        <v>178.2</v>
      </c>
      <c r="G55" s="11">
        <v>1.4668000000000001</v>
      </c>
      <c r="H55" s="13">
        <v>4571</v>
      </c>
      <c r="I55" s="13">
        <v>27984</v>
      </c>
      <c r="J55" s="10">
        <v>102</v>
      </c>
      <c r="K55" s="13">
        <v>26</v>
      </c>
      <c r="L55" s="17">
        <v>25.27</v>
      </c>
      <c r="M55" s="13">
        <v>0</v>
      </c>
    </row>
    <row r="56" spans="1:13" x14ac:dyDescent="0.25">
      <c r="A56" s="10">
        <v>55</v>
      </c>
      <c r="B56" s="10">
        <v>55</v>
      </c>
      <c r="C56" s="13">
        <v>911074</v>
      </c>
      <c r="D56" s="13">
        <v>910488</v>
      </c>
      <c r="E56" s="9">
        <v>1067.0999999999999</v>
      </c>
      <c r="F56" s="9">
        <v>177.8</v>
      </c>
      <c r="G56" s="11">
        <v>1.4661</v>
      </c>
      <c r="H56" s="13">
        <v>1571</v>
      </c>
      <c r="I56" s="13">
        <v>27971</v>
      </c>
      <c r="J56" s="10">
        <v>101</v>
      </c>
      <c r="K56" s="13">
        <v>41</v>
      </c>
      <c r="L56" s="17">
        <v>25.27</v>
      </c>
      <c r="M56" s="13">
        <v>0</v>
      </c>
    </row>
    <row r="57" spans="1:13" x14ac:dyDescent="0.25">
      <c r="A57" s="10">
        <v>56</v>
      </c>
      <c r="B57" s="10">
        <v>56</v>
      </c>
      <c r="C57" s="13">
        <v>909917</v>
      </c>
      <c r="D57" s="13">
        <v>909339</v>
      </c>
      <c r="E57" s="9">
        <v>1067.8</v>
      </c>
      <c r="F57" s="9">
        <v>178.5</v>
      </c>
      <c r="G57" s="11">
        <v>1.4651000000000001</v>
      </c>
      <c r="H57" s="13">
        <v>2301</v>
      </c>
      <c r="I57" s="13">
        <v>28151</v>
      </c>
      <c r="J57" s="10">
        <v>100</v>
      </c>
      <c r="K57" s="13">
        <v>23</v>
      </c>
      <c r="L57" s="17">
        <v>25.27</v>
      </c>
      <c r="M57" s="13">
        <v>0</v>
      </c>
    </row>
    <row r="58" spans="1:13" x14ac:dyDescent="0.25">
      <c r="A58" s="10">
        <v>57</v>
      </c>
      <c r="B58" s="10">
        <v>57</v>
      </c>
      <c r="C58" s="13">
        <v>910748</v>
      </c>
      <c r="D58" s="13">
        <v>910165</v>
      </c>
      <c r="E58" s="9">
        <v>1067.0999999999999</v>
      </c>
      <c r="F58" s="9">
        <v>178.1</v>
      </c>
      <c r="G58" s="11">
        <v>1.4666999999999999</v>
      </c>
      <c r="H58" s="13">
        <v>4079</v>
      </c>
      <c r="I58" s="13">
        <v>27955</v>
      </c>
      <c r="J58" s="10">
        <v>100</v>
      </c>
      <c r="K58" s="13">
        <v>42</v>
      </c>
      <c r="L58" s="17">
        <v>25.27</v>
      </c>
      <c r="M58" s="13">
        <v>0</v>
      </c>
    </row>
    <row r="59" spans="1:13" x14ac:dyDescent="0.25">
      <c r="A59" s="10">
        <v>58</v>
      </c>
      <c r="B59" s="10">
        <v>58</v>
      </c>
      <c r="C59" s="13">
        <v>910914</v>
      </c>
      <c r="D59" s="13">
        <v>910361</v>
      </c>
      <c r="E59" s="9">
        <v>1064.9000000000001</v>
      </c>
      <c r="F59" s="9">
        <v>175.4</v>
      </c>
      <c r="G59" s="11">
        <v>1.4657</v>
      </c>
      <c r="H59" s="13">
        <v>2058</v>
      </c>
      <c r="I59" s="13">
        <v>27978</v>
      </c>
      <c r="J59" s="10">
        <v>102</v>
      </c>
      <c r="K59" s="13">
        <v>38</v>
      </c>
      <c r="L59" s="17">
        <v>25.26</v>
      </c>
      <c r="M59" s="13">
        <v>0</v>
      </c>
    </row>
    <row r="60" spans="1:13" x14ac:dyDescent="0.25">
      <c r="A60" s="10">
        <v>59</v>
      </c>
      <c r="B60" s="10">
        <v>59</v>
      </c>
      <c r="C60" s="13">
        <v>910520</v>
      </c>
      <c r="D60" s="13">
        <v>909878</v>
      </c>
      <c r="E60" s="9">
        <v>1065.9000000000001</v>
      </c>
      <c r="F60" s="9">
        <v>177.4</v>
      </c>
      <c r="G60" s="11">
        <v>1.4661</v>
      </c>
      <c r="H60" s="13">
        <v>3982</v>
      </c>
      <c r="I60" s="13">
        <v>28630</v>
      </c>
      <c r="J60" s="10">
        <v>100</v>
      </c>
      <c r="K60" s="13">
        <v>35</v>
      </c>
      <c r="L60" s="17">
        <v>25.27</v>
      </c>
      <c r="M60" s="13">
        <v>0</v>
      </c>
    </row>
    <row r="61" spans="1:13" x14ac:dyDescent="0.25">
      <c r="A61" s="10">
        <v>60</v>
      </c>
      <c r="B61" s="10">
        <v>60</v>
      </c>
      <c r="C61" s="13">
        <v>911047</v>
      </c>
      <c r="D61" s="13">
        <v>910424</v>
      </c>
      <c r="E61" s="9">
        <v>1068.0999999999999</v>
      </c>
      <c r="F61" s="9">
        <v>179.6</v>
      </c>
      <c r="G61" s="11">
        <v>1.4661</v>
      </c>
      <c r="H61" s="13">
        <v>11163</v>
      </c>
      <c r="I61" s="13">
        <v>28243</v>
      </c>
      <c r="J61" s="10">
        <v>101</v>
      </c>
      <c r="K61" s="13">
        <v>49</v>
      </c>
      <c r="L61" s="17">
        <v>25.28</v>
      </c>
      <c r="M61" s="13">
        <v>0</v>
      </c>
    </row>
    <row r="62" spans="1:13" x14ac:dyDescent="0.25">
      <c r="A62" s="10">
        <v>61</v>
      </c>
      <c r="B62" s="10">
        <v>61</v>
      </c>
      <c r="C62" s="13">
        <v>910052</v>
      </c>
      <c r="D62" s="13">
        <v>909447</v>
      </c>
      <c r="E62" s="9">
        <v>1065.5999999999999</v>
      </c>
      <c r="F62" s="9">
        <v>176.4</v>
      </c>
      <c r="G62" s="11">
        <v>1.4661</v>
      </c>
      <c r="H62" s="13">
        <v>1903</v>
      </c>
      <c r="I62" s="13">
        <v>27889</v>
      </c>
      <c r="J62" s="10">
        <v>102</v>
      </c>
      <c r="K62" s="13">
        <v>35</v>
      </c>
      <c r="L62" s="17">
        <v>25.27</v>
      </c>
      <c r="M62" s="13">
        <v>0</v>
      </c>
    </row>
    <row r="63" spans="1:13" x14ac:dyDescent="0.25">
      <c r="A63" s="10">
        <v>62</v>
      </c>
      <c r="B63" s="10">
        <v>62</v>
      </c>
      <c r="C63" s="13">
        <v>911249</v>
      </c>
      <c r="D63" s="13">
        <v>910649</v>
      </c>
      <c r="E63" s="9">
        <v>1067.3</v>
      </c>
      <c r="F63" s="9">
        <v>178.2</v>
      </c>
      <c r="G63" s="11">
        <v>1.4655</v>
      </c>
      <c r="H63" s="13">
        <v>3691</v>
      </c>
      <c r="I63" s="13">
        <v>28222</v>
      </c>
      <c r="J63" s="10">
        <v>99</v>
      </c>
      <c r="K63" s="13">
        <v>38</v>
      </c>
      <c r="L63" s="17">
        <v>25.27</v>
      </c>
      <c r="M63" s="13">
        <v>0</v>
      </c>
    </row>
    <row r="64" spans="1:13" x14ac:dyDescent="0.25">
      <c r="A64" s="10">
        <v>63</v>
      </c>
      <c r="B64" s="10">
        <v>63</v>
      </c>
      <c r="C64" s="13">
        <v>910158</v>
      </c>
      <c r="D64" s="13">
        <v>909610</v>
      </c>
      <c r="E64" s="9">
        <v>1074.8</v>
      </c>
      <c r="F64" s="9">
        <v>186.1</v>
      </c>
      <c r="G64" s="11">
        <v>1.4661</v>
      </c>
      <c r="H64" s="13">
        <v>9396</v>
      </c>
      <c r="I64" s="13">
        <v>28475</v>
      </c>
      <c r="J64" s="10">
        <v>100</v>
      </c>
      <c r="K64" s="13">
        <v>41</v>
      </c>
      <c r="L64" s="17">
        <v>25.29</v>
      </c>
      <c r="M64" s="13">
        <v>0</v>
      </c>
    </row>
    <row r="65" spans="1:13" x14ac:dyDescent="0.25">
      <c r="A65" s="10">
        <v>64</v>
      </c>
      <c r="B65" s="10">
        <v>64</v>
      </c>
      <c r="C65" s="13">
        <v>910643</v>
      </c>
      <c r="D65" s="13">
        <v>910062</v>
      </c>
      <c r="E65" s="9">
        <v>1069</v>
      </c>
      <c r="F65" s="9">
        <v>179.9</v>
      </c>
      <c r="G65" s="11">
        <v>1.4658</v>
      </c>
      <c r="H65" s="13">
        <v>5461</v>
      </c>
      <c r="I65" s="13">
        <v>28729</v>
      </c>
      <c r="J65" s="10">
        <v>103</v>
      </c>
      <c r="K65" s="13">
        <v>38</v>
      </c>
      <c r="L65" s="17">
        <v>25.27</v>
      </c>
      <c r="M65" s="13">
        <v>0</v>
      </c>
    </row>
    <row r="66" spans="1:13" x14ac:dyDescent="0.25">
      <c r="A66" s="10">
        <v>65</v>
      </c>
      <c r="B66" s="10">
        <v>65</v>
      </c>
      <c r="C66" s="13">
        <v>910883</v>
      </c>
      <c r="D66" s="13">
        <v>910263</v>
      </c>
      <c r="E66" s="9">
        <v>1066.8</v>
      </c>
      <c r="F66" s="9">
        <v>177.3</v>
      </c>
      <c r="G66" s="11">
        <v>1.4656</v>
      </c>
      <c r="H66" s="13">
        <v>1380</v>
      </c>
      <c r="I66" s="13">
        <v>28021</v>
      </c>
      <c r="J66" s="10">
        <v>103</v>
      </c>
      <c r="K66" s="13">
        <v>44</v>
      </c>
      <c r="L66" s="17">
        <v>25.28</v>
      </c>
      <c r="M66" s="13">
        <v>0</v>
      </c>
    </row>
    <row r="67" spans="1:13" x14ac:dyDescent="0.25">
      <c r="A67" s="10">
        <v>66</v>
      </c>
      <c r="B67" s="10">
        <v>66</v>
      </c>
      <c r="C67" s="13">
        <v>910037</v>
      </c>
      <c r="D67" s="13">
        <v>909408</v>
      </c>
      <c r="E67" s="9">
        <v>1070.9000000000001</v>
      </c>
      <c r="F67" s="9">
        <v>182.6</v>
      </c>
      <c r="G67" s="11">
        <v>1.4646999999999999</v>
      </c>
      <c r="H67" s="13">
        <v>7132</v>
      </c>
      <c r="I67" s="13">
        <v>28983</v>
      </c>
      <c r="J67" s="10">
        <v>99</v>
      </c>
      <c r="K67" s="13">
        <v>32</v>
      </c>
      <c r="L67" s="17">
        <v>25.28</v>
      </c>
      <c r="M67" s="13">
        <v>0</v>
      </c>
    </row>
    <row r="68" spans="1:13" x14ac:dyDescent="0.25">
      <c r="A68" s="10">
        <v>67</v>
      </c>
      <c r="B68" s="10">
        <v>67</v>
      </c>
      <c r="C68" s="13">
        <v>909656</v>
      </c>
      <c r="D68" s="13">
        <v>909012</v>
      </c>
      <c r="E68" s="9">
        <v>1069</v>
      </c>
      <c r="F68" s="9">
        <v>179.8</v>
      </c>
      <c r="G68" s="11">
        <v>1.4653</v>
      </c>
      <c r="H68" s="13">
        <v>3045</v>
      </c>
      <c r="I68" s="13">
        <v>28057</v>
      </c>
      <c r="J68" s="10">
        <v>99</v>
      </c>
      <c r="K68" s="13">
        <v>34</v>
      </c>
      <c r="L68" s="17">
        <v>25.28</v>
      </c>
      <c r="M68" s="13">
        <v>0</v>
      </c>
    </row>
    <row r="69" spans="1:13" x14ac:dyDescent="0.25">
      <c r="A69" s="10">
        <v>68</v>
      </c>
      <c r="B69" s="10">
        <v>68</v>
      </c>
      <c r="C69" s="13">
        <v>910195</v>
      </c>
      <c r="D69" s="13">
        <v>909561</v>
      </c>
      <c r="E69" s="9">
        <v>1067.2</v>
      </c>
      <c r="F69" s="9">
        <v>178.6</v>
      </c>
      <c r="G69" s="11">
        <v>1.4659</v>
      </c>
      <c r="H69" s="13">
        <v>2533</v>
      </c>
      <c r="I69" s="13">
        <v>28195</v>
      </c>
      <c r="J69" s="10">
        <v>100</v>
      </c>
      <c r="K69" s="13">
        <v>32</v>
      </c>
      <c r="L69" s="17">
        <v>25.28</v>
      </c>
      <c r="M69" s="13">
        <v>0</v>
      </c>
    </row>
    <row r="70" spans="1:13" x14ac:dyDescent="0.25">
      <c r="A70" s="10">
        <v>69</v>
      </c>
      <c r="B70" s="10">
        <v>69</v>
      </c>
      <c r="C70" s="13">
        <v>910979</v>
      </c>
      <c r="D70" s="13">
        <v>910391</v>
      </c>
      <c r="E70" s="9">
        <v>1069.4000000000001</v>
      </c>
      <c r="F70" s="9">
        <v>181</v>
      </c>
      <c r="G70" s="11">
        <v>1.4650000000000001</v>
      </c>
      <c r="H70" s="13">
        <v>5277</v>
      </c>
      <c r="I70" s="13">
        <v>28051</v>
      </c>
      <c r="J70" s="10">
        <v>101</v>
      </c>
      <c r="K70" s="13">
        <v>31</v>
      </c>
      <c r="L70" s="17">
        <v>25.28</v>
      </c>
      <c r="M70" s="13">
        <v>0</v>
      </c>
    </row>
    <row r="71" spans="1:13" x14ac:dyDescent="0.25">
      <c r="A71" s="10">
        <v>70</v>
      </c>
      <c r="B71" s="10">
        <v>70</v>
      </c>
      <c r="C71" s="13">
        <v>910915</v>
      </c>
      <c r="D71" s="13">
        <v>910398</v>
      </c>
      <c r="E71" s="9">
        <v>1067.4000000000001</v>
      </c>
      <c r="F71" s="9">
        <v>178.8</v>
      </c>
      <c r="G71" s="11">
        <v>1.4662999999999999</v>
      </c>
      <c r="H71" s="13">
        <v>3968</v>
      </c>
      <c r="I71" s="13">
        <v>28088</v>
      </c>
      <c r="J71" s="10">
        <v>101</v>
      </c>
      <c r="K71" s="13">
        <v>38</v>
      </c>
      <c r="L71" s="17">
        <v>25.27</v>
      </c>
      <c r="M71" s="13">
        <v>0</v>
      </c>
    </row>
    <row r="72" spans="1:13" x14ac:dyDescent="0.25">
      <c r="A72" s="10">
        <v>71</v>
      </c>
      <c r="B72" s="10">
        <v>71</v>
      </c>
      <c r="C72" s="13">
        <v>911642</v>
      </c>
      <c r="D72" s="13">
        <v>911044</v>
      </c>
      <c r="E72" s="9">
        <v>1068.7</v>
      </c>
      <c r="F72" s="9">
        <v>179.8</v>
      </c>
      <c r="G72" s="11">
        <v>1.4657</v>
      </c>
      <c r="H72" s="13">
        <v>2771</v>
      </c>
      <c r="I72" s="13">
        <v>28520</v>
      </c>
      <c r="J72" s="10">
        <v>99</v>
      </c>
      <c r="K72" s="13">
        <v>28</v>
      </c>
      <c r="L72" s="17">
        <v>25.27</v>
      </c>
      <c r="M72" s="13">
        <v>0</v>
      </c>
    </row>
    <row r="73" spans="1:13" x14ac:dyDescent="0.25">
      <c r="A73" s="10">
        <v>72</v>
      </c>
      <c r="B73" s="10">
        <v>72</v>
      </c>
      <c r="C73" s="13">
        <v>911057</v>
      </c>
      <c r="D73" s="13">
        <v>910442</v>
      </c>
      <c r="E73" s="9">
        <v>1068.7</v>
      </c>
      <c r="F73" s="9">
        <v>180.3</v>
      </c>
      <c r="G73" s="11">
        <v>1.4658</v>
      </c>
      <c r="H73" s="13">
        <v>6678</v>
      </c>
      <c r="I73" s="13">
        <v>28214</v>
      </c>
      <c r="J73" s="10">
        <v>100</v>
      </c>
      <c r="K73" s="13">
        <v>28</v>
      </c>
      <c r="L73" s="17">
        <v>25.27</v>
      </c>
      <c r="M73" s="13">
        <v>0</v>
      </c>
    </row>
    <row r="74" spans="1:13" x14ac:dyDescent="0.25">
      <c r="A74" s="10">
        <v>73</v>
      </c>
      <c r="B74" s="10">
        <v>73</v>
      </c>
      <c r="C74" s="13">
        <v>910375</v>
      </c>
      <c r="D74" s="13">
        <v>909804</v>
      </c>
      <c r="E74" s="9">
        <v>1067</v>
      </c>
      <c r="F74" s="9">
        <v>178.4</v>
      </c>
      <c r="G74" s="11">
        <v>1.4662999999999999</v>
      </c>
      <c r="H74" s="13">
        <v>2301</v>
      </c>
      <c r="I74" s="13">
        <v>28327</v>
      </c>
      <c r="J74" s="10">
        <v>100</v>
      </c>
      <c r="K74" s="13">
        <v>36</v>
      </c>
      <c r="L74" s="17">
        <v>25.28</v>
      </c>
      <c r="M74" s="13">
        <v>0</v>
      </c>
    </row>
    <row r="75" spans="1:13" x14ac:dyDescent="0.25">
      <c r="A75" s="10">
        <v>74</v>
      </c>
      <c r="B75" s="10">
        <v>74</v>
      </c>
      <c r="C75" s="13">
        <v>911621</v>
      </c>
      <c r="D75" s="13">
        <v>911010</v>
      </c>
      <c r="E75" s="9">
        <v>1069.3</v>
      </c>
      <c r="F75" s="9">
        <v>180.9</v>
      </c>
      <c r="G75" s="11">
        <v>1.4650000000000001</v>
      </c>
      <c r="H75" s="13">
        <v>5676</v>
      </c>
      <c r="I75" s="13">
        <v>28312</v>
      </c>
      <c r="J75" s="10">
        <v>98</v>
      </c>
      <c r="K75" s="13">
        <v>31</v>
      </c>
      <c r="L75" s="17">
        <v>25.27</v>
      </c>
      <c r="M75" s="13">
        <v>0</v>
      </c>
    </row>
    <row r="76" spans="1:13" x14ac:dyDescent="0.25">
      <c r="A76" s="10">
        <v>75</v>
      </c>
      <c r="B76" s="10">
        <v>75</v>
      </c>
      <c r="C76" s="13">
        <v>910422</v>
      </c>
      <c r="D76" s="13">
        <v>909862</v>
      </c>
      <c r="E76" s="9">
        <v>1067.5999999999999</v>
      </c>
      <c r="F76" s="9">
        <v>178.5</v>
      </c>
      <c r="G76" s="11">
        <v>1.4653</v>
      </c>
      <c r="H76" s="13">
        <v>3703</v>
      </c>
      <c r="I76" s="13">
        <v>27655</v>
      </c>
      <c r="J76" s="10">
        <v>101</v>
      </c>
      <c r="K76" s="13">
        <v>54</v>
      </c>
      <c r="L76" s="17">
        <v>25.28</v>
      </c>
      <c r="M76" s="13">
        <v>0</v>
      </c>
    </row>
    <row r="77" spans="1:13" x14ac:dyDescent="0.25">
      <c r="A77" s="10">
        <v>76</v>
      </c>
      <c r="B77" s="10">
        <v>76</v>
      </c>
      <c r="C77" s="13">
        <v>909842</v>
      </c>
      <c r="D77" s="13">
        <v>909235</v>
      </c>
      <c r="E77" s="9">
        <v>1065.9000000000001</v>
      </c>
      <c r="F77" s="9">
        <v>176.8</v>
      </c>
      <c r="G77" s="11">
        <v>1.4661999999999999</v>
      </c>
      <c r="H77" s="13">
        <v>2303</v>
      </c>
      <c r="I77" s="13">
        <v>27935</v>
      </c>
      <c r="J77" s="10">
        <v>99</v>
      </c>
      <c r="K77" s="13">
        <v>49</v>
      </c>
      <c r="L77" s="17">
        <v>25.27</v>
      </c>
      <c r="M77" s="13">
        <v>0</v>
      </c>
    </row>
    <row r="78" spans="1:13" x14ac:dyDescent="0.25">
      <c r="A78" s="10">
        <v>77</v>
      </c>
      <c r="B78" s="10">
        <v>77</v>
      </c>
      <c r="C78" s="13">
        <v>910664</v>
      </c>
      <c r="D78" s="13">
        <v>910046</v>
      </c>
      <c r="E78" s="9">
        <v>1069.2</v>
      </c>
      <c r="F78" s="9">
        <v>180.3</v>
      </c>
      <c r="G78" s="11">
        <v>1.4668000000000001</v>
      </c>
      <c r="H78" s="13">
        <v>4783</v>
      </c>
      <c r="I78" s="13">
        <v>28790</v>
      </c>
      <c r="J78" s="10">
        <v>98</v>
      </c>
      <c r="K78" s="13">
        <v>46</v>
      </c>
      <c r="L78" s="17">
        <v>25.28</v>
      </c>
      <c r="M78" s="13">
        <v>0</v>
      </c>
    </row>
    <row r="79" spans="1:13" x14ac:dyDescent="0.25">
      <c r="A79" s="10">
        <v>78</v>
      </c>
      <c r="B79" s="10">
        <v>78</v>
      </c>
      <c r="C79" s="13">
        <v>913325</v>
      </c>
      <c r="D79" s="13">
        <v>912643</v>
      </c>
      <c r="E79" s="9">
        <v>1067.7</v>
      </c>
      <c r="F79" s="9">
        <v>177.8</v>
      </c>
      <c r="G79" s="11">
        <v>1.4653</v>
      </c>
      <c r="H79" s="13">
        <v>4921</v>
      </c>
      <c r="I79" s="13">
        <v>28213</v>
      </c>
      <c r="J79" s="10">
        <v>100</v>
      </c>
      <c r="K79" s="13">
        <v>39</v>
      </c>
      <c r="L79" s="17">
        <v>25.27</v>
      </c>
      <c r="M79" s="13">
        <v>0</v>
      </c>
    </row>
    <row r="80" spans="1:13" x14ac:dyDescent="0.25">
      <c r="A80" s="10">
        <v>79</v>
      </c>
      <c r="B80" s="10">
        <v>79</v>
      </c>
      <c r="C80" s="13">
        <v>910708</v>
      </c>
      <c r="D80" s="13">
        <v>910062</v>
      </c>
      <c r="E80" s="9">
        <v>1067.7</v>
      </c>
      <c r="F80" s="9">
        <v>178.4</v>
      </c>
      <c r="G80" s="11">
        <v>1.4657</v>
      </c>
      <c r="H80" s="13">
        <v>4492</v>
      </c>
      <c r="I80" s="13">
        <v>28245</v>
      </c>
      <c r="J80" s="10">
        <v>102</v>
      </c>
      <c r="K80" s="13">
        <v>38</v>
      </c>
      <c r="L80" s="17">
        <v>25.27</v>
      </c>
      <c r="M80" s="13">
        <v>0</v>
      </c>
    </row>
    <row r="81" spans="1:13" x14ac:dyDescent="0.25">
      <c r="A81" s="10">
        <v>80</v>
      </c>
      <c r="B81" s="10">
        <v>80</v>
      </c>
      <c r="C81" s="13">
        <v>911036</v>
      </c>
      <c r="D81" s="13">
        <v>910476</v>
      </c>
      <c r="E81" s="9">
        <v>1077.2</v>
      </c>
      <c r="F81" s="9">
        <v>188.9</v>
      </c>
      <c r="G81" s="11">
        <v>1.4648000000000001</v>
      </c>
      <c r="H81" s="13">
        <v>17768</v>
      </c>
      <c r="I81" s="13">
        <v>28463</v>
      </c>
      <c r="J81" s="10">
        <v>97</v>
      </c>
      <c r="K81" s="13">
        <v>28</v>
      </c>
      <c r="L81" s="17">
        <v>25.29</v>
      </c>
      <c r="M81" s="13">
        <v>0</v>
      </c>
    </row>
    <row r="82" spans="1:13" x14ac:dyDescent="0.25">
      <c r="A82" s="10">
        <v>81</v>
      </c>
      <c r="B82" s="10">
        <v>81</v>
      </c>
      <c r="C82" s="13">
        <v>910151</v>
      </c>
      <c r="D82" s="13">
        <v>909614</v>
      </c>
      <c r="E82" s="9">
        <v>1068.2</v>
      </c>
      <c r="F82" s="9">
        <v>178.7</v>
      </c>
      <c r="G82" s="11">
        <v>1.4658</v>
      </c>
      <c r="H82" s="13">
        <v>3520</v>
      </c>
      <c r="I82" s="13">
        <v>28158</v>
      </c>
      <c r="J82" s="10">
        <v>102</v>
      </c>
      <c r="K82" s="13">
        <v>33</v>
      </c>
      <c r="L82" s="17">
        <v>25.28</v>
      </c>
      <c r="M82" s="13">
        <v>0</v>
      </c>
    </row>
    <row r="83" spans="1:13" x14ac:dyDescent="0.25">
      <c r="A83" s="10">
        <v>82</v>
      </c>
      <c r="B83" s="10">
        <v>82</v>
      </c>
      <c r="C83" s="13">
        <v>910300</v>
      </c>
      <c r="D83" s="13">
        <v>909659</v>
      </c>
      <c r="E83" s="9">
        <v>1066.8</v>
      </c>
      <c r="F83" s="9">
        <v>178.2</v>
      </c>
      <c r="G83" s="11">
        <v>1.4666999999999999</v>
      </c>
      <c r="H83" s="13">
        <v>2810</v>
      </c>
      <c r="I83" s="13">
        <v>28279</v>
      </c>
      <c r="J83" s="10">
        <v>101</v>
      </c>
      <c r="K83" s="13">
        <v>29</v>
      </c>
      <c r="L83" s="17">
        <v>25.28</v>
      </c>
      <c r="M83" s="13">
        <v>0</v>
      </c>
    </row>
    <row r="84" spans="1:13" x14ac:dyDescent="0.25">
      <c r="A84" s="10">
        <v>83</v>
      </c>
      <c r="B84" s="10">
        <v>83</v>
      </c>
      <c r="C84" s="13">
        <v>911450</v>
      </c>
      <c r="D84" s="13">
        <v>910880</v>
      </c>
      <c r="E84" s="9">
        <v>1070.2</v>
      </c>
      <c r="F84" s="9">
        <v>181.5</v>
      </c>
      <c r="G84" s="11">
        <v>1.4659</v>
      </c>
      <c r="H84" s="13">
        <v>8731</v>
      </c>
      <c r="I84" s="13">
        <v>28395</v>
      </c>
      <c r="J84" s="10">
        <v>99</v>
      </c>
      <c r="K84" s="13">
        <v>32</v>
      </c>
      <c r="L84" s="17">
        <v>25.27</v>
      </c>
      <c r="M84" s="13">
        <v>0</v>
      </c>
    </row>
    <row r="85" spans="1:13" x14ac:dyDescent="0.25">
      <c r="A85" s="10">
        <v>84</v>
      </c>
      <c r="B85" s="10">
        <v>84</v>
      </c>
      <c r="C85" s="13">
        <v>911219</v>
      </c>
      <c r="D85" s="13">
        <v>910603</v>
      </c>
      <c r="E85" s="9">
        <v>1069.8</v>
      </c>
      <c r="F85" s="9">
        <v>180.1</v>
      </c>
      <c r="G85" s="11">
        <v>1.4662999999999999</v>
      </c>
      <c r="H85" s="13">
        <v>2685</v>
      </c>
      <c r="I85" s="13">
        <v>28280</v>
      </c>
      <c r="J85" s="10">
        <v>99</v>
      </c>
      <c r="K85" s="13">
        <v>46</v>
      </c>
      <c r="L85" s="17">
        <v>25.28</v>
      </c>
      <c r="M85" s="13">
        <v>0</v>
      </c>
    </row>
    <row r="86" spans="1:13" x14ac:dyDescent="0.25">
      <c r="A86" s="10">
        <v>85</v>
      </c>
      <c r="B86" s="10">
        <v>85</v>
      </c>
      <c r="C86" s="13">
        <v>910767</v>
      </c>
      <c r="D86" s="13">
        <v>910156</v>
      </c>
      <c r="E86" s="9">
        <v>1065</v>
      </c>
      <c r="F86" s="9">
        <v>176.9</v>
      </c>
      <c r="G86" s="11">
        <v>1.4655</v>
      </c>
      <c r="H86" s="13">
        <v>2438</v>
      </c>
      <c r="I86" s="13">
        <v>27942</v>
      </c>
      <c r="J86" s="10">
        <v>100</v>
      </c>
      <c r="K86" s="13">
        <v>51</v>
      </c>
      <c r="L86" s="17">
        <v>25.27</v>
      </c>
      <c r="M86" s="13">
        <v>0</v>
      </c>
    </row>
    <row r="87" spans="1:13" x14ac:dyDescent="0.25">
      <c r="A87" s="10">
        <v>86</v>
      </c>
      <c r="B87" s="10">
        <v>86</v>
      </c>
      <c r="C87" s="13">
        <v>910807</v>
      </c>
      <c r="D87" s="13">
        <v>910263</v>
      </c>
      <c r="E87" s="9">
        <v>1066.3</v>
      </c>
      <c r="F87" s="9">
        <v>177</v>
      </c>
      <c r="G87" s="11">
        <v>1.4657</v>
      </c>
      <c r="H87" s="13">
        <v>3180</v>
      </c>
      <c r="I87" s="13">
        <v>28067</v>
      </c>
      <c r="J87" s="10">
        <v>101</v>
      </c>
      <c r="K87" s="13">
        <v>36</v>
      </c>
      <c r="L87" s="17">
        <v>25.27</v>
      </c>
      <c r="M87" s="13">
        <v>0</v>
      </c>
    </row>
    <row r="88" spans="1:13" x14ac:dyDescent="0.25">
      <c r="A88" s="10">
        <v>87</v>
      </c>
      <c r="B88" s="10">
        <v>87</v>
      </c>
      <c r="C88" s="13">
        <v>909347</v>
      </c>
      <c r="D88" s="13">
        <v>908777</v>
      </c>
      <c r="E88" s="9">
        <v>1065.7</v>
      </c>
      <c r="F88" s="9">
        <v>176.8</v>
      </c>
      <c r="G88" s="11">
        <v>1.4656</v>
      </c>
      <c r="H88" s="13">
        <v>2216</v>
      </c>
      <c r="I88" s="13">
        <v>28091</v>
      </c>
      <c r="J88" s="10">
        <v>103</v>
      </c>
      <c r="K88" s="13">
        <v>39</v>
      </c>
      <c r="L88" s="17">
        <v>25.27</v>
      </c>
      <c r="M88" s="13">
        <v>0</v>
      </c>
    </row>
    <row r="89" spans="1:13" x14ac:dyDescent="0.25">
      <c r="A89" s="10">
        <v>88</v>
      </c>
      <c r="B89" s="10">
        <v>88</v>
      </c>
      <c r="C89" s="13">
        <v>912583</v>
      </c>
      <c r="D89" s="13">
        <v>912024</v>
      </c>
      <c r="E89" s="9">
        <v>1066</v>
      </c>
      <c r="F89" s="9">
        <v>177</v>
      </c>
      <c r="G89" s="11">
        <v>1.4655</v>
      </c>
      <c r="H89" s="13">
        <v>3012</v>
      </c>
      <c r="I89" s="13">
        <v>28401</v>
      </c>
      <c r="J89" s="10">
        <v>100</v>
      </c>
      <c r="K89" s="13">
        <v>34</v>
      </c>
      <c r="L89" s="17">
        <v>25.27</v>
      </c>
      <c r="M89" s="13">
        <v>0</v>
      </c>
    </row>
    <row r="90" spans="1:13" x14ac:dyDescent="0.25">
      <c r="A90" s="10">
        <v>89</v>
      </c>
      <c r="B90" s="10">
        <v>89</v>
      </c>
      <c r="C90" s="13">
        <v>911089</v>
      </c>
      <c r="D90" s="13">
        <v>910486</v>
      </c>
      <c r="E90" s="9">
        <v>1067.5999999999999</v>
      </c>
      <c r="F90" s="9">
        <v>177.8</v>
      </c>
      <c r="G90" s="11">
        <v>1.4658</v>
      </c>
      <c r="H90" s="13">
        <v>3172</v>
      </c>
      <c r="I90" s="13">
        <v>28115</v>
      </c>
      <c r="J90" s="10">
        <v>99</v>
      </c>
      <c r="K90" s="13">
        <v>30</v>
      </c>
      <c r="L90" s="17">
        <v>25.27</v>
      </c>
      <c r="M90" s="13">
        <v>0</v>
      </c>
    </row>
    <row r="91" spans="1:13" x14ac:dyDescent="0.25">
      <c r="A91" s="10">
        <v>90</v>
      </c>
      <c r="B91" s="10">
        <v>90</v>
      </c>
      <c r="C91" s="13">
        <v>911355</v>
      </c>
      <c r="D91" s="13">
        <v>910704</v>
      </c>
      <c r="E91" s="9">
        <v>1066.3</v>
      </c>
      <c r="F91" s="9">
        <v>177.2</v>
      </c>
      <c r="G91" s="11">
        <v>1.466</v>
      </c>
      <c r="H91" s="13">
        <v>2891</v>
      </c>
      <c r="I91" s="13">
        <v>28068</v>
      </c>
      <c r="J91" s="10">
        <v>101</v>
      </c>
      <c r="K91" s="13">
        <v>38</v>
      </c>
      <c r="L91" s="17">
        <v>25.27</v>
      </c>
      <c r="M91" s="13">
        <v>0</v>
      </c>
    </row>
    <row r="92" spans="1:13" x14ac:dyDescent="0.25">
      <c r="A92" s="10">
        <v>91</v>
      </c>
      <c r="B92" s="10">
        <v>91</v>
      </c>
      <c r="C92" s="13">
        <v>912472</v>
      </c>
      <c r="D92" s="13">
        <v>911929</v>
      </c>
      <c r="E92" s="9">
        <v>1071.2</v>
      </c>
      <c r="F92" s="9">
        <v>182.5</v>
      </c>
      <c r="G92" s="11">
        <v>1.4659</v>
      </c>
      <c r="H92" s="13">
        <v>12482</v>
      </c>
      <c r="I92" s="13">
        <v>28468</v>
      </c>
      <c r="J92" s="10">
        <v>101</v>
      </c>
      <c r="K92" s="13">
        <v>26</v>
      </c>
      <c r="L92" s="17">
        <v>25.28</v>
      </c>
      <c r="M92" s="13">
        <v>0</v>
      </c>
    </row>
    <row r="93" spans="1:13" x14ac:dyDescent="0.25">
      <c r="A93" s="10">
        <v>92</v>
      </c>
      <c r="B93" s="10">
        <v>92</v>
      </c>
      <c r="C93" s="13">
        <v>911525</v>
      </c>
      <c r="D93" s="13">
        <v>910821</v>
      </c>
      <c r="E93" s="9">
        <v>1068.2</v>
      </c>
      <c r="F93" s="9">
        <v>179</v>
      </c>
      <c r="G93" s="11">
        <v>1.4658</v>
      </c>
      <c r="H93" s="13">
        <v>4291</v>
      </c>
      <c r="I93" s="13">
        <v>28072</v>
      </c>
      <c r="J93" s="10">
        <v>100</v>
      </c>
      <c r="K93" s="13">
        <v>27</v>
      </c>
      <c r="L93" s="17">
        <v>25.28</v>
      </c>
      <c r="M93" s="13">
        <v>0</v>
      </c>
    </row>
    <row r="94" spans="1:13" x14ac:dyDescent="0.25">
      <c r="A94" s="10">
        <v>93</v>
      </c>
      <c r="B94" s="10">
        <v>93</v>
      </c>
      <c r="C94" s="13">
        <v>910839</v>
      </c>
      <c r="D94" s="13">
        <v>910230</v>
      </c>
      <c r="E94" s="9">
        <v>1065.5</v>
      </c>
      <c r="F94" s="9">
        <v>176.6</v>
      </c>
      <c r="G94" s="11">
        <v>1.4661</v>
      </c>
      <c r="H94" s="13">
        <v>2412</v>
      </c>
      <c r="I94" s="13">
        <v>28818</v>
      </c>
      <c r="J94" s="10">
        <v>101</v>
      </c>
      <c r="K94" s="13">
        <v>31</v>
      </c>
      <c r="L94" s="17">
        <v>25.27</v>
      </c>
      <c r="M94" s="13">
        <v>0</v>
      </c>
    </row>
    <row r="95" spans="1:13" x14ac:dyDescent="0.25">
      <c r="A95" s="10">
        <v>94</v>
      </c>
      <c r="B95" s="10">
        <v>94</v>
      </c>
      <c r="C95" s="13">
        <v>909410</v>
      </c>
      <c r="D95" s="13">
        <v>908889</v>
      </c>
      <c r="E95" s="9">
        <v>1064.3</v>
      </c>
      <c r="F95" s="9">
        <v>175.7</v>
      </c>
      <c r="G95" s="11">
        <v>1.4651000000000001</v>
      </c>
      <c r="H95" s="13">
        <v>846</v>
      </c>
      <c r="I95" s="13">
        <v>28007</v>
      </c>
      <c r="J95" s="10">
        <v>99</v>
      </c>
      <c r="K95" s="13">
        <v>32</v>
      </c>
      <c r="L95" s="17">
        <v>25.27</v>
      </c>
      <c r="M95" s="13">
        <v>0</v>
      </c>
    </row>
    <row r="96" spans="1:13" x14ac:dyDescent="0.25">
      <c r="A96" s="10">
        <v>95</v>
      </c>
      <c r="B96" s="10">
        <v>95</v>
      </c>
      <c r="C96" s="13">
        <v>911317</v>
      </c>
      <c r="D96" s="13">
        <v>910750</v>
      </c>
      <c r="E96" s="9">
        <v>1069.5999999999999</v>
      </c>
      <c r="F96" s="9">
        <v>181</v>
      </c>
      <c r="G96" s="11">
        <v>1.4658</v>
      </c>
      <c r="H96" s="13">
        <v>4373</v>
      </c>
      <c r="I96" s="13">
        <v>28322</v>
      </c>
      <c r="J96" s="10">
        <v>100</v>
      </c>
      <c r="K96" s="13">
        <v>40</v>
      </c>
      <c r="L96" s="17">
        <v>25.28</v>
      </c>
      <c r="M96" s="13">
        <v>0</v>
      </c>
    </row>
    <row r="97" spans="1:13" x14ac:dyDescent="0.25">
      <c r="A97" s="10">
        <v>96</v>
      </c>
      <c r="B97" s="10">
        <v>96</v>
      </c>
      <c r="C97" s="13">
        <v>912218</v>
      </c>
      <c r="D97" s="13">
        <v>911627</v>
      </c>
      <c r="E97" s="9">
        <v>1066.4000000000001</v>
      </c>
      <c r="F97" s="9">
        <v>177.8</v>
      </c>
      <c r="G97" s="11">
        <v>1.4652000000000001</v>
      </c>
      <c r="H97" s="13">
        <v>1999</v>
      </c>
      <c r="I97" s="13">
        <v>27816</v>
      </c>
      <c r="J97" s="10">
        <v>101</v>
      </c>
      <c r="K97" s="13">
        <v>36</v>
      </c>
      <c r="L97" s="17">
        <v>25.27</v>
      </c>
      <c r="M97" s="13">
        <v>0</v>
      </c>
    </row>
    <row r="98" spans="1:13" x14ac:dyDescent="0.25">
      <c r="A98" s="10">
        <v>97</v>
      </c>
      <c r="B98" s="10">
        <v>97</v>
      </c>
      <c r="C98" s="13">
        <v>909829</v>
      </c>
      <c r="D98" s="13">
        <v>909324</v>
      </c>
      <c r="E98" s="9">
        <v>1064.9000000000001</v>
      </c>
      <c r="F98" s="9">
        <v>176.3</v>
      </c>
      <c r="G98" s="11">
        <v>1.4665999999999999</v>
      </c>
      <c r="H98" s="13">
        <v>3223</v>
      </c>
      <c r="I98" s="13">
        <v>28431</v>
      </c>
      <c r="J98" s="10">
        <v>100</v>
      </c>
      <c r="K98" s="13">
        <v>47</v>
      </c>
      <c r="L98" s="17">
        <v>25.26</v>
      </c>
      <c r="M98" s="13">
        <v>0</v>
      </c>
    </row>
    <row r="99" spans="1:13" x14ac:dyDescent="0.25">
      <c r="A99" s="10">
        <v>98</v>
      </c>
      <c r="B99" s="10">
        <v>98</v>
      </c>
      <c r="C99" s="13">
        <v>911006</v>
      </c>
      <c r="D99" s="13">
        <v>910404</v>
      </c>
      <c r="E99" s="9">
        <v>1066.3</v>
      </c>
      <c r="F99" s="9">
        <v>177.3</v>
      </c>
      <c r="G99" s="11">
        <v>1.4649000000000001</v>
      </c>
      <c r="H99" s="13">
        <v>1854</v>
      </c>
      <c r="I99" s="13">
        <v>27810</v>
      </c>
      <c r="J99" s="10">
        <v>101</v>
      </c>
      <c r="K99" s="13">
        <v>33</v>
      </c>
      <c r="L99" s="17">
        <v>25.27</v>
      </c>
      <c r="M99" s="13">
        <v>0</v>
      </c>
    </row>
    <row r="100" spans="1:13" x14ac:dyDescent="0.25">
      <c r="A100" s="10">
        <v>99</v>
      </c>
      <c r="B100" s="10">
        <v>99</v>
      </c>
      <c r="C100" s="13">
        <v>911493</v>
      </c>
      <c r="D100" s="13">
        <v>910870</v>
      </c>
      <c r="E100" s="9">
        <v>1068.3</v>
      </c>
      <c r="F100" s="9">
        <v>178.9</v>
      </c>
      <c r="G100" s="11">
        <v>1.4659</v>
      </c>
      <c r="H100" s="13">
        <v>1449</v>
      </c>
      <c r="I100" s="13">
        <v>28136</v>
      </c>
      <c r="J100" s="10">
        <v>99</v>
      </c>
      <c r="K100" s="13">
        <v>31</v>
      </c>
      <c r="L100" s="17">
        <v>25.28</v>
      </c>
      <c r="M100" s="13">
        <v>0</v>
      </c>
    </row>
    <row r="101" spans="1:13" x14ac:dyDescent="0.25">
      <c r="A101" s="10">
        <v>100</v>
      </c>
      <c r="B101" s="10">
        <v>100</v>
      </c>
      <c r="C101" s="13">
        <v>910059</v>
      </c>
      <c r="D101" s="13">
        <v>909498</v>
      </c>
      <c r="E101" s="9">
        <v>1064</v>
      </c>
      <c r="F101" s="9">
        <v>174.7</v>
      </c>
      <c r="G101" s="11">
        <v>1.4659</v>
      </c>
      <c r="H101" s="13">
        <v>3096</v>
      </c>
      <c r="I101" s="13">
        <v>28314</v>
      </c>
      <c r="J101" s="10">
        <v>101</v>
      </c>
      <c r="K101" s="13">
        <v>29</v>
      </c>
      <c r="L101" s="17">
        <v>25.26</v>
      </c>
      <c r="M101" s="13">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1"/>
  <sheetViews>
    <sheetView workbookViewId="0">
      <pane ySplit="1" topLeftCell="A2" activePane="bottomLeft" state="frozen"/>
      <selection pane="bottomLeft"/>
    </sheetView>
  </sheetViews>
  <sheetFormatPr baseColWidth="10" defaultColWidth="9.140625" defaultRowHeight="15" x14ac:dyDescent="0.25"/>
  <cols>
    <col min="1" max="13" width="15" customWidth="1"/>
  </cols>
  <sheetData>
    <row r="1" spans="1:13" ht="45" customHeight="1" x14ac:dyDescent="0.25">
      <c r="A1" s="7" t="s">
        <v>5</v>
      </c>
      <c r="B1" s="7" t="s">
        <v>159</v>
      </c>
      <c r="C1" s="7" t="s">
        <v>160</v>
      </c>
      <c r="D1" s="7" t="s">
        <v>161</v>
      </c>
      <c r="E1" s="7" t="s">
        <v>31</v>
      </c>
      <c r="F1" s="7" t="s">
        <v>48</v>
      </c>
      <c r="G1" s="7" t="s">
        <v>162</v>
      </c>
      <c r="H1" s="7" t="s">
        <v>163</v>
      </c>
      <c r="I1" s="7" t="s">
        <v>164</v>
      </c>
      <c r="J1" s="7" t="s">
        <v>165</v>
      </c>
      <c r="K1" s="7" t="s">
        <v>166</v>
      </c>
      <c r="L1" s="7" t="s">
        <v>167</v>
      </c>
      <c r="M1" s="7" t="s">
        <v>168</v>
      </c>
    </row>
    <row r="2" spans="1:13" x14ac:dyDescent="0.25">
      <c r="A2" s="10">
        <v>1</v>
      </c>
      <c r="B2" s="10">
        <v>1</v>
      </c>
      <c r="C2" s="13">
        <v>911023</v>
      </c>
      <c r="D2" s="13">
        <v>910454</v>
      </c>
      <c r="E2" s="9">
        <v>1066.4000000000001</v>
      </c>
      <c r="F2" s="9">
        <v>177.7</v>
      </c>
      <c r="G2" s="11">
        <v>1.4628000000000001</v>
      </c>
      <c r="H2" s="13">
        <v>2779</v>
      </c>
      <c r="I2" s="13">
        <v>28087</v>
      </c>
      <c r="J2" s="10">
        <v>98</v>
      </c>
      <c r="K2" s="13">
        <v>35</v>
      </c>
      <c r="L2" s="17">
        <v>25.06</v>
      </c>
      <c r="M2" s="13">
        <v>0</v>
      </c>
    </row>
    <row r="3" spans="1:13" x14ac:dyDescent="0.25">
      <c r="A3" s="10">
        <v>2</v>
      </c>
      <c r="B3" s="10">
        <v>2</v>
      </c>
      <c r="C3" s="13">
        <v>912914</v>
      </c>
      <c r="D3" s="13">
        <v>912314</v>
      </c>
      <c r="E3" s="9">
        <v>1072.5</v>
      </c>
      <c r="F3" s="9">
        <v>183.2</v>
      </c>
      <c r="G3" s="11">
        <v>1.4633</v>
      </c>
      <c r="H3" s="13">
        <v>3957</v>
      </c>
      <c r="I3" s="13">
        <v>28527</v>
      </c>
      <c r="J3" s="10">
        <v>97</v>
      </c>
      <c r="K3" s="13">
        <v>46</v>
      </c>
      <c r="L3" s="17">
        <v>25.07</v>
      </c>
      <c r="M3" s="13">
        <v>0</v>
      </c>
    </row>
    <row r="4" spans="1:13" x14ac:dyDescent="0.25">
      <c r="A4" s="10">
        <v>3</v>
      </c>
      <c r="B4" s="10">
        <v>3</v>
      </c>
      <c r="C4" s="13">
        <v>910605</v>
      </c>
      <c r="D4" s="13">
        <v>910037</v>
      </c>
      <c r="E4" s="9">
        <v>1069.5</v>
      </c>
      <c r="F4" s="9">
        <v>180.9</v>
      </c>
      <c r="G4" s="11">
        <v>1.4634</v>
      </c>
      <c r="H4" s="13">
        <v>2637</v>
      </c>
      <c r="I4" s="13">
        <v>27891</v>
      </c>
      <c r="J4" s="10">
        <v>96</v>
      </c>
      <c r="K4" s="13">
        <v>39</v>
      </c>
      <c r="L4" s="17">
        <v>25.07</v>
      </c>
      <c r="M4" s="13">
        <v>0</v>
      </c>
    </row>
    <row r="5" spans="1:13" x14ac:dyDescent="0.25">
      <c r="A5" s="10">
        <v>4</v>
      </c>
      <c r="B5" s="10">
        <v>4</v>
      </c>
      <c r="C5" s="13">
        <v>911933</v>
      </c>
      <c r="D5" s="13">
        <v>911191</v>
      </c>
      <c r="E5" s="9">
        <v>1071.7</v>
      </c>
      <c r="F5" s="9">
        <v>181.6</v>
      </c>
      <c r="G5" s="11">
        <v>1.4636</v>
      </c>
      <c r="H5" s="13">
        <v>7475</v>
      </c>
      <c r="I5" s="13">
        <v>28893</v>
      </c>
      <c r="J5" s="10">
        <v>97</v>
      </c>
      <c r="K5" s="13">
        <v>50</v>
      </c>
      <c r="L5" s="17">
        <v>25.06</v>
      </c>
      <c r="M5" s="13">
        <v>0</v>
      </c>
    </row>
    <row r="6" spans="1:13" x14ac:dyDescent="0.25">
      <c r="A6" s="10">
        <v>5</v>
      </c>
      <c r="B6" s="10">
        <v>5</v>
      </c>
      <c r="C6" s="13">
        <v>909962</v>
      </c>
      <c r="D6" s="13">
        <v>909384</v>
      </c>
      <c r="E6" s="9">
        <v>1073.3</v>
      </c>
      <c r="F6" s="9">
        <v>184.6</v>
      </c>
      <c r="G6" s="11">
        <v>1.4634</v>
      </c>
      <c r="H6" s="13">
        <v>6324</v>
      </c>
      <c r="I6" s="13">
        <v>28263</v>
      </c>
      <c r="J6" s="10">
        <v>97</v>
      </c>
      <c r="K6" s="13">
        <v>49</v>
      </c>
      <c r="L6" s="17">
        <v>25.06</v>
      </c>
      <c r="M6" s="13">
        <v>0</v>
      </c>
    </row>
    <row r="7" spans="1:13" x14ac:dyDescent="0.25">
      <c r="A7" s="10">
        <v>6</v>
      </c>
      <c r="B7" s="10">
        <v>6</v>
      </c>
      <c r="C7" s="13">
        <v>909908</v>
      </c>
      <c r="D7" s="13">
        <v>909286</v>
      </c>
      <c r="E7" s="9">
        <v>1069.5</v>
      </c>
      <c r="F7" s="9">
        <v>180.5</v>
      </c>
      <c r="G7" s="11">
        <v>1.4632000000000001</v>
      </c>
      <c r="H7" s="13">
        <v>3111</v>
      </c>
      <c r="I7" s="13">
        <v>28223</v>
      </c>
      <c r="J7" s="10">
        <v>99</v>
      </c>
      <c r="K7" s="13">
        <v>31</v>
      </c>
      <c r="L7" s="17">
        <v>25.06</v>
      </c>
      <c r="M7" s="13">
        <v>0</v>
      </c>
    </row>
    <row r="8" spans="1:13" x14ac:dyDescent="0.25">
      <c r="A8" s="10">
        <v>7</v>
      </c>
      <c r="B8" s="10">
        <v>7</v>
      </c>
      <c r="C8" s="13">
        <v>912654</v>
      </c>
      <c r="D8" s="13">
        <v>912077</v>
      </c>
      <c r="E8" s="9">
        <v>1072.5999999999999</v>
      </c>
      <c r="F8" s="9">
        <v>183.5</v>
      </c>
      <c r="G8" s="11">
        <v>1.4637</v>
      </c>
      <c r="H8" s="13">
        <v>2954</v>
      </c>
      <c r="I8" s="13">
        <v>28401</v>
      </c>
      <c r="J8" s="10">
        <v>95</v>
      </c>
      <c r="K8" s="13">
        <v>43</v>
      </c>
      <c r="L8" s="17">
        <v>25.07</v>
      </c>
      <c r="M8" s="13">
        <v>0</v>
      </c>
    </row>
    <row r="9" spans="1:13" x14ac:dyDescent="0.25">
      <c r="A9" s="10">
        <v>8</v>
      </c>
      <c r="B9" s="10">
        <v>8</v>
      </c>
      <c r="C9" s="13">
        <v>911427</v>
      </c>
      <c r="D9" s="13">
        <v>910812</v>
      </c>
      <c r="E9" s="9">
        <v>1071.4000000000001</v>
      </c>
      <c r="F9" s="9">
        <v>182.6</v>
      </c>
      <c r="G9" s="11">
        <v>1.4641</v>
      </c>
      <c r="H9" s="13">
        <v>8407</v>
      </c>
      <c r="I9" s="13">
        <v>28215</v>
      </c>
      <c r="J9" s="10">
        <v>98</v>
      </c>
      <c r="K9" s="13">
        <v>46</v>
      </c>
      <c r="L9" s="17">
        <v>25.06</v>
      </c>
      <c r="M9" s="13">
        <v>0</v>
      </c>
    </row>
    <row r="10" spans="1:13" x14ac:dyDescent="0.25">
      <c r="A10" s="10">
        <v>9</v>
      </c>
      <c r="B10" s="10">
        <v>9</v>
      </c>
      <c r="C10" s="13">
        <v>910496</v>
      </c>
      <c r="D10" s="13">
        <v>909895</v>
      </c>
      <c r="E10" s="9">
        <v>1070</v>
      </c>
      <c r="F10" s="9">
        <v>181.4</v>
      </c>
      <c r="G10" s="11">
        <v>1.4641999999999999</v>
      </c>
      <c r="H10" s="13">
        <v>3554</v>
      </c>
      <c r="I10" s="13">
        <v>28210</v>
      </c>
      <c r="J10" s="10">
        <v>97</v>
      </c>
      <c r="K10" s="13">
        <v>42</v>
      </c>
      <c r="L10" s="17">
        <v>25.06</v>
      </c>
      <c r="M10" s="13">
        <v>0</v>
      </c>
    </row>
    <row r="11" spans="1:13" x14ac:dyDescent="0.25">
      <c r="A11" s="10">
        <v>10</v>
      </c>
      <c r="B11" s="10">
        <v>10</v>
      </c>
      <c r="C11" s="13">
        <v>911179</v>
      </c>
      <c r="D11" s="13">
        <v>910573</v>
      </c>
      <c r="E11" s="9">
        <v>1068.3</v>
      </c>
      <c r="F11" s="9">
        <v>180.2</v>
      </c>
      <c r="G11" s="11">
        <v>1.4634</v>
      </c>
      <c r="H11" s="13">
        <v>1298</v>
      </c>
      <c r="I11" s="13">
        <v>28287</v>
      </c>
      <c r="J11" s="10">
        <v>96</v>
      </c>
      <c r="K11" s="13">
        <v>30</v>
      </c>
      <c r="L11" s="17">
        <v>25.07</v>
      </c>
      <c r="M11" s="13">
        <v>0</v>
      </c>
    </row>
    <row r="12" spans="1:13" x14ac:dyDescent="0.25">
      <c r="A12" s="10">
        <v>11</v>
      </c>
      <c r="B12" s="10">
        <v>11</v>
      </c>
      <c r="C12" s="13">
        <v>910633</v>
      </c>
      <c r="D12" s="13">
        <v>909984</v>
      </c>
      <c r="E12" s="9">
        <v>1069.2</v>
      </c>
      <c r="F12" s="9">
        <v>180</v>
      </c>
      <c r="G12" s="11">
        <v>1.4639</v>
      </c>
      <c r="H12" s="13">
        <v>7030</v>
      </c>
      <c r="I12" s="13">
        <v>28247</v>
      </c>
      <c r="J12" s="10">
        <v>98</v>
      </c>
      <c r="K12" s="13">
        <v>60</v>
      </c>
      <c r="L12" s="17">
        <v>25.06</v>
      </c>
      <c r="M12" s="13">
        <v>0</v>
      </c>
    </row>
    <row r="13" spans="1:13" x14ac:dyDescent="0.25">
      <c r="A13" s="10">
        <v>12</v>
      </c>
      <c r="B13" s="10">
        <v>12</v>
      </c>
      <c r="C13" s="13">
        <v>911263</v>
      </c>
      <c r="D13" s="13">
        <v>910720</v>
      </c>
      <c r="E13" s="9">
        <v>1069.8</v>
      </c>
      <c r="F13" s="9">
        <v>180.4</v>
      </c>
      <c r="G13" s="11">
        <v>1.4641</v>
      </c>
      <c r="H13" s="13">
        <v>6253</v>
      </c>
      <c r="I13" s="13">
        <v>28469</v>
      </c>
      <c r="J13" s="10">
        <v>96</v>
      </c>
      <c r="K13" s="13">
        <v>55</v>
      </c>
      <c r="L13" s="17">
        <v>25.06</v>
      </c>
      <c r="M13" s="13">
        <v>0</v>
      </c>
    </row>
    <row r="14" spans="1:13" x14ac:dyDescent="0.25">
      <c r="A14" s="10">
        <v>13</v>
      </c>
      <c r="B14" s="10">
        <v>13</v>
      </c>
      <c r="C14" s="13">
        <v>911071</v>
      </c>
      <c r="D14" s="13">
        <v>910287</v>
      </c>
      <c r="E14" s="9">
        <v>1074.4000000000001</v>
      </c>
      <c r="F14" s="9">
        <v>185.5</v>
      </c>
      <c r="G14" s="11">
        <v>1.4641999999999999</v>
      </c>
      <c r="H14" s="13">
        <v>12031</v>
      </c>
      <c r="I14" s="13">
        <v>28522</v>
      </c>
      <c r="J14" s="10">
        <v>97</v>
      </c>
      <c r="K14" s="13">
        <v>33</v>
      </c>
      <c r="L14" s="17">
        <v>25.07</v>
      </c>
      <c r="M14" s="13">
        <v>0</v>
      </c>
    </row>
    <row r="15" spans="1:13" x14ac:dyDescent="0.25">
      <c r="A15" s="10">
        <v>14</v>
      </c>
      <c r="B15" s="10">
        <v>14</v>
      </c>
      <c r="C15" s="13">
        <v>910953</v>
      </c>
      <c r="D15" s="13">
        <v>910406</v>
      </c>
      <c r="E15" s="9">
        <v>1070</v>
      </c>
      <c r="F15" s="9">
        <v>181.5</v>
      </c>
      <c r="G15" s="11">
        <v>1.4632000000000001</v>
      </c>
      <c r="H15" s="13">
        <v>3712</v>
      </c>
      <c r="I15" s="13">
        <v>28043</v>
      </c>
      <c r="J15" s="10">
        <v>98</v>
      </c>
      <c r="K15" s="13">
        <v>40</v>
      </c>
      <c r="L15" s="17">
        <v>25.07</v>
      </c>
      <c r="M15" s="13">
        <v>0</v>
      </c>
    </row>
    <row r="16" spans="1:13" x14ac:dyDescent="0.25">
      <c r="A16" s="10">
        <v>15</v>
      </c>
      <c r="B16" s="10">
        <v>15</v>
      </c>
      <c r="C16" s="13">
        <v>910560</v>
      </c>
      <c r="D16" s="13">
        <v>909961</v>
      </c>
      <c r="E16" s="9">
        <v>1071</v>
      </c>
      <c r="F16" s="9">
        <v>181.6</v>
      </c>
      <c r="G16" s="11">
        <v>1.4637</v>
      </c>
      <c r="H16" s="13">
        <v>5127</v>
      </c>
      <c r="I16" s="13">
        <v>28164</v>
      </c>
      <c r="J16" s="10">
        <v>97</v>
      </c>
      <c r="K16" s="13">
        <v>15</v>
      </c>
      <c r="L16" s="17">
        <v>25.06</v>
      </c>
      <c r="M16" s="13">
        <v>0</v>
      </c>
    </row>
    <row r="17" spans="1:13" x14ac:dyDescent="0.25">
      <c r="A17" s="10">
        <v>16</v>
      </c>
      <c r="B17" s="10">
        <v>16</v>
      </c>
      <c r="C17" s="13">
        <v>911967</v>
      </c>
      <c r="D17" s="13">
        <v>911328</v>
      </c>
      <c r="E17" s="9">
        <v>1072.7</v>
      </c>
      <c r="F17" s="9">
        <v>183.7</v>
      </c>
      <c r="G17" s="11">
        <v>1.4641</v>
      </c>
      <c r="H17" s="13">
        <v>3909</v>
      </c>
      <c r="I17" s="13">
        <v>29046</v>
      </c>
      <c r="J17" s="10">
        <v>96</v>
      </c>
      <c r="K17" s="13">
        <v>56</v>
      </c>
      <c r="L17" s="17">
        <v>25.07</v>
      </c>
      <c r="M17" s="13">
        <v>0</v>
      </c>
    </row>
    <row r="18" spans="1:13" x14ac:dyDescent="0.25">
      <c r="A18" s="10">
        <v>17</v>
      </c>
      <c r="B18" s="10">
        <v>17</v>
      </c>
      <c r="C18" s="13">
        <v>910119</v>
      </c>
      <c r="D18" s="13">
        <v>909537</v>
      </c>
      <c r="E18" s="9">
        <v>1076.7</v>
      </c>
      <c r="F18" s="9">
        <v>188.1</v>
      </c>
      <c r="G18" s="11">
        <v>1.4626999999999999</v>
      </c>
      <c r="H18" s="13">
        <v>11460</v>
      </c>
      <c r="I18" s="13">
        <v>28672</v>
      </c>
      <c r="J18" s="10">
        <v>95</v>
      </c>
      <c r="K18" s="13">
        <v>25</v>
      </c>
      <c r="L18" s="17">
        <v>25.07</v>
      </c>
      <c r="M18" s="13">
        <v>0</v>
      </c>
    </row>
    <row r="19" spans="1:13" x14ac:dyDescent="0.25">
      <c r="A19" s="10">
        <v>18</v>
      </c>
      <c r="B19" s="10">
        <v>18</v>
      </c>
      <c r="C19" s="13">
        <v>911761</v>
      </c>
      <c r="D19" s="13">
        <v>911149</v>
      </c>
      <c r="E19" s="9">
        <v>1070.5</v>
      </c>
      <c r="F19" s="9">
        <v>181.6</v>
      </c>
      <c r="G19" s="11">
        <v>1.4644999999999999</v>
      </c>
      <c r="H19" s="13">
        <v>2284</v>
      </c>
      <c r="I19" s="13">
        <v>28479</v>
      </c>
      <c r="J19" s="10">
        <v>97</v>
      </c>
      <c r="K19" s="13">
        <v>37</v>
      </c>
      <c r="L19" s="17">
        <v>25.06</v>
      </c>
      <c r="M19" s="13">
        <v>0</v>
      </c>
    </row>
    <row r="20" spans="1:13" x14ac:dyDescent="0.25">
      <c r="A20" s="10">
        <v>19</v>
      </c>
      <c r="B20" s="10">
        <v>19</v>
      </c>
      <c r="C20" s="13">
        <v>910502</v>
      </c>
      <c r="D20" s="13">
        <v>909869</v>
      </c>
      <c r="E20" s="9">
        <v>1068.7</v>
      </c>
      <c r="F20" s="9">
        <v>180</v>
      </c>
      <c r="G20" s="11">
        <v>1.4638</v>
      </c>
      <c r="H20" s="13">
        <v>3888</v>
      </c>
      <c r="I20" s="13">
        <v>28686</v>
      </c>
      <c r="J20" s="10">
        <v>97</v>
      </c>
      <c r="K20" s="13">
        <v>50</v>
      </c>
      <c r="L20" s="17">
        <v>25.06</v>
      </c>
      <c r="M20" s="13">
        <v>0</v>
      </c>
    </row>
    <row r="21" spans="1:13" x14ac:dyDescent="0.25">
      <c r="A21" s="10">
        <v>20</v>
      </c>
      <c r="B21" s="10">
        <v>20</v>
      </c>
      <c r="C21" s="13">
        <v>910492</v>
      </c>
      <c r="D21" s="13">
        <v>909915</v>
      </c>
      <c r="E21" s="9">
        <v>1069.8</v>
      </c>
      <c r="F21" s="9">
        <v>180.7</v>
      </c>
      <c r="G21" s="11">
        <v>1.4641</v>
      </c>
      <c r="H21" s="13">
        <v>4420</v>
      </c>
      <c r="I21" s="13">
        <v>28555</v>
      </c>
      <c r="J21" s="10">
        <v>97</v>
      </c>
      <c r="K21" s="13">
        <v>40</v>
      </c>
      <c r="L21" s="17">
        <v>25.06</v>
      </c>
      <c r="M21" s="13">
        <v>0</v>
      </c>
    </row>
    <row r="22" spans="1:13" x14ac:dyDescent="0.25">
      <c r="A22" s="10">
        <v>21</v>
      </c>
      <c r="B22" s="10">
        <v>21</v>
      </c>
      <c r="C22" s="13">
        <v>910998</v>
      </c>
      <c r="D22" s="13">
        <v>910434</v>
      </c>
      <c r="E22" s="9">
        <v>1068.9000000000001</v>
      </c>
      <c r="F22" s="9">
        <v>180.6</v>
      </c>
      <c r="G22" s="11">
        <v>1.4633</v>
      </c>
      <c r="H22" s="13">
        <v>1998</v>
      </c>
      <c r="I22" s="13">
        <v>27892</v>
      </c>
      <c r="J22" s="10">
        <v>95</v>
      </c>
      <c r="K22" s="13">
        <v>43</v>
      </c>
      <c r="L22" s="17">
        <v>25.06</v>
      </c>
      <c r="M22" s="13">
        <v>0</v>
      </c>
    </row>
    <row r="23" spans="1:13" x14ac:dyDescent="0.25">
      <c r="A23" s="10">
        <v>22</v>
      </c>
      <c r="B23" s="10">
        <v>22</v>
      </c>
      <c r="C23" s="13">
        <v>912170</v>
      </c>
      <c r="D23" s="13">
        <v>911637</v>
      </c>
      <c r="E23" s="9">
        <v>1073.2</v>
      </c>
      <c r="F23" s="9">
        <v>184.1</v>
      </c>
      <c r="G23" s="11">
        <v>1.4641</v>
      </c>
      <c r="H23" s="13">
        <v>5059</v>
      </c>
      <c r="I23" s="13">
        <v>28069</v>
      </c>
      <c r="J23" s="10">
        <v>95</v>
      </c>
      <c r="K23" s="13">
        <v>27</v>
      </c>
      <c r="L23" s="17">
        <v>25.07</v>
      </c>
      <c r="M23" s="13">
        <v>0</v>
      </c>
    </row>
    <row r="24" spans="1:13" x14ac:dyDescent="0.25">
      <c r="A24" s="10">
        <v>23</v>
      </c>
      <c r="B24" s="10">
        <v>23</v>
      </c>
      <c r="C24" s="13">
        <v>912313</v>
      </c>
      <c r="D24" s="13">
        <v>911702</v>
      </c>
      <c r="E24" s="9">
        <v>1069.7</v>
      </c>
      <c r="F24" s="9">
        <v>181.6</v>
      </c>
      <c r="G24" s="11">
        <v>1.4633</v>
      </c>
      <c r="H24" s="13">
        <v>3750</v>
      </c>
      <c r="I24" s="13">
        <v>28515</v>
      </c>
      <c r="J24" s="10">
        <v>97</v>
      </c>
      <c r="K24" s="13">
        <v>39</v>
      </c>
      <c r="L24" s="17">
        <v>25.06</v>
      </c>
      <c r="M24" s="13">
        <v>0</v>
      </c>
    </row>
    <row r="25" spans="1:13" x14ac:dyDescent="0.25">
      <c r="A25" s="10">
        <v>24</v>
      </c>
      <c r="B25" s="10">
        <v>24</v>
      </c>
      <c r="C25" s="13">
        <v>909856</v>
      </c>
      <c r="D25" s="13">
        <v>909330</v>
      </c>
      <c r="E25" s="9">
        <v>1069.3</v>
      </c>
      <c r="F25" s="9">
        <v>180</v>
      </c>
      <c r="G25" s="11">
        <v>1.4633</v>
      </c>
      <c r="H25" s="13">
        <v>1969</v>
      </c>
      <c r="I25" s="13">
        <v>28156</v>
      </c>
      <c r="J25" s="10">
        <v>97</v>
      </c>
      <c r="K25" s="13">
        <v>41</v>
      </c>
      <c r="L25" s="17">
        <v>25.06</v>
      </c>
      <c r="M25" s="13">
        <v>0</v>
      </c>
    </row>
    <row r="26" spans="1:13" x14ac:dyDescent="0.25">
      <c r="A26" s="10">
        <v>25</v>
      </c>
      <c r="B26" s="10">
        <v>25</v>
      </c>
      <c r="C26" s="13">
        <v>912136</v>
      </c>
      <c r="D26" s="13">
        <v>911583</v>
      </c>
      <c r="E26" s="9">
        <v>1069.4000000000001</v>
      </c>
      <c r="F26" s="9">
        <v>180.4</v>
      </c>
      <c r="G26" s="11">
        <v>1.464</v>
      </c>
      <c r="H26" s="13">
        <v>3153</v>
      </c>
      <c r="I26" s="13">
        <v>28572</v>
      </c>
      <c r="J26" s="10">
        <v>96</v>
      </c>
      <c r="K26" s="13">
        <v>41</v>
      </c>
      <c r="L26" s="17">
        <v>25.07</v>
      </c>
      <c r="M26" s="13">
        <v>0</v>
      </c>
    </row>
    <row r="27" spans="1:13" x14ac:dyDescent="0.25">
      <c r="A27" s="10">
        <v>26</v>
      </c>
      <c r="B27" s="10">
        <v>26</v>
      </c>
      <c r="C27" s="13">
        <v>910973</v>
      </c>
      <c r="D27" s="13">
        <v>910374</v>
      </c>
      <c r="E27" s="9">
        <v>1069.8</v>
      </c>
      <c r="F27" s="9">
        <v>180.9</v>
      </c>
      <c r="G27" s="11">
        <v>1.4652000000000001</v>
      </c>
      <c r="H27" s="13">
        <v>3171</v>
      </c>
      <c r="I27" s="13">
        <v>28151</v>
      </c>
      <c r="J27" s="10">
        <v>94</v>
      </c>
      <c r="K27" s="13">
        <v>50</v>
      </c>
      <c r="L27" s="17">
        <v>25.06</v>
      </c>
      <c r="M27" s="13">
        <v>0</v>
      </c>
    </row>
    <row r="28" spans="1:13" x14ac:dyDescent="0.25">
      <c r="A28" s="10">
        <v>27</v>
      </c>
      <c r="B28" s="10">
        <v>27</v>
      </c>
      <c r="C28" s="13">
        <v>910428</v>
      </c>
      <c r="D28" s="13">
        <v>909841</v>
      </c>
      <c r="E28" s="9">
        <v>1075.5</v>
      </c>
      <c r="F28" s="9">
        <v>185.3</v>
      </c>
      <c r="G28" s="11">
        <v>1.4653</v>
      </c>
      <c r="H28" s="13">
        <v>5117</v>
      </c>
      <c r="I28" s="13">
        <v>28331</v>
      </c>
      <c r="J28" s="10">
        <v>93</v>
      </c>
      <c r="K28" s="13">
        <v>27</v>
      </c>
      <c r="L28" s="17">
        <v>25.08</v>
      </c>
      <c r="M28" s="13">
        <v>0</v>
      </c>
    </row>
    <row r="29" spans="1:13" x14ac:dyDescent="0.25">
      <c r="A29" s="10">
        <v>28</v>
      </c>
      <c r="B29" s="10">
        <v>28</v>
      </c>
      <c r="C29" s="13">
        <v>911705</v>
      </c>
      <c r="D29" s="13">
        <v>911096</v>
      </c>
      <c r="E29" s="9">
        <v>1069.7</v>
      </c>
      <c r="F29" s="9">
        <v>180.9</v>
      </c>
      <c r="G29" s="11">
        <v>1.4637</v>
      </c>
      <c r="H29" s="13">
        <v>3370</v>
      </c>
      <c r="I29" s="13">
        <v>28646</v>
      </c>
      <c r="J29" s="10">
        <v>96</v>
      </c>
      <c r="K29" s="13">
        <v>26</v>
      </c>
      <c r="L29" s="17">
        <v>25.06</v>
      </c>
      <c r="M29" s="13">
        <v>0</v>
      </c>
    </row>
    <row r="30" spans="1:13" x14ac:dyDescent="0.25">
      <c r="A30" s="10">
        <v>29</v>
      </c>
      <c r="B30" s="10">
        <v>29</v>
      </c>
      <c r="C30" s="13">
        <v>912673</v>
      </c>
      <c r="D30" s="13">
        <v>912076</v>
      </c>
      <c r="E30" s="9">
        <v>1069.0999999999999</v>
      </c>
      <c r="F30" s="9">
        <v>180.8</v>
      </c>
      <c r="G30" s="11">
        <v>1.4638</v>
      </c>
      <c r="H30" s="13">
        <v>3359</v>
      </c>
      <c r="I30" s="13">
        <v>28039</v>
      </c>
      <c r="J30" s="10">
        <v>95</v>
      </c>
      <c r="K30" s="13">
        <v>47</v>
      </c>
      <c r="L30" s="17">
        <v>25.06</v>
      </c>
      <c r="M30" s="13">
        <v>0</v>
      </c>
    </row>
    <row r="31" spans="1:13" x14ac:dyDescent="0.25">
      <c r="A31" s="10">
        <v>30</v>
      </c>
      <c r="B31" s="10">
        <v>30</v>
      </c>
      <c r="C31" s="13">
        <v>910124</v>
      </c>
      <c r="D31" s="13">
        <v>909541</v>
      </c>
      <c r="E31" s="9">
        <v>1070.7</v>
      </c>
      <c r="F31" s="9">
        <v>181.2</v>
      </c>
      <c r="G31" s="11">
        <v>1.464</v>
      </c>
      <c r="H31" s="13">
        <v>1502</v>
      </c>
      <c r="I31" s="13">
        <v>28266</v>
      </c>
      <c r="J31" s="10">
        <v>97</v>
      </c>
      <c r="K31" s="13">
        <v>42</v>
      </c>
      <c r="L31" s="17">
        <v>25.07</v>
      </c>
      <c r="M31" s="13">
        <v>0</v>
      </c>
    </row>
    <row r="32" spans="1:13" x14ac:dyDescent="0.25">
      <c r="A32" s="10">
        <v>31</v>
      </c>
      <c r="B32" s="10">
        <v>31</v>
      </c>
      <c r="C32" s="13">
        <v>910070</v>
      </c>
      <c r="D32" s="13">
        <v>909514</v>
      </c>
      <c r="E32" s="9">
        <v>1071.9000000000001</v>
      </c>
      <c r="F32" s="9">
        <v>182.5</v>
      </c>
      <c r="G32" s="11">
        <v>1.4642999999999999</v>
      </c>
      <c r="H32" s="13">
        <v>5274</v>
      </c>
      <c r="I32" s="13">
        <v>28030</v>
      </c>
      <c r="J32" s="10">
        <v>98</v>
      </c>
      <c r="K32" s="13">
        <v>40</v>
      </c>
      <c r="L32" s="17">
        <v>25.06</v>
      </c>
      <c r="M32" s="13">
        <v>0</v>
      </c>
    </row>
    <row r="33" spans="1:13" x14ac:dyDescent="0.25">
      <c r="A33" s="10">
        <v>32</v>
      </c>
      <c r="B33" s="10">
        <v>32</v>
      </c>
      <c r="C33" s="13">
        <v>910473</v>
      </c>
      <c r="D33" s="13">
        <v>909898</v>
      </c>
      <c r="E33" s="9">
        <v>1075.2</v>
      </c>
      <c r="F33" s="9">
        <v>185.8</v>
      </c>
      <c r="G33" s="11">
        <v>1.4642999999999999</v>
      </c>
      <c r="H33" s="13">
        <v>11671</v>
      </c>
      <c r="I33" s="13">
        <v>28489</v>
      </c>
      <c r="J33" s="10">
        <v>96</v>
      </c>
      <c r="K33" s="13">
        <v>26</v>
      </c>
      <c r="L33" s="17">
        <v>25.07</v>
      </c>
      <c r="M33" s="13">
        <v>0</v>
      </c>
    </row>
    <row r="34" spans="1:13" x14ac:dyDescent="0.25">
      <c r="A34" s="10">
        <v>33</v>
      </c>
      <c r="B34" s="10">
        <v>33</v>
      </c>
      <c r="C34" s="13">
        <v>912190</v>
      </c>
      <c r="D34" s="13">
        <v>911648</v>
      </c>
      <c r="E34" s="9">
        <v>1071.5999999999999</v>
      </c>
      <c r="F34" s="9">
        <v>182.9</v>
      </c>
      <c r="G34" s="11">
        <v>1.464</v>
      </c>
      <c r="H34" s="13">
        <v>5862</v>
      </c>
      <c r="I34" s="13">
        <v>28318</v>
      </c>
      <c r="J34" s="10">
        <v>95</v>
      </c>
      <c r="K34" s="13">
        <v>46</v>
      </c>
      <c r="L34" s="17">
        <v>25.06</v>
      </c>
      <c r="M34" s="13">
        <v>0</v>
      </c>
    </row>
    <row r="35" spans="1:13" x14ac:dyDescent="0.25">
      <c r="A35" s="10">
        <v>34</v>
      </c>
      <c r="B35" s="10">
        <v>34</v>
      </c>
      <c r="C35" s="13">
        <v>910868</v>
      </c>
      <c r="D35" s="13">
        <v>910250</v>
      </c>
      <c r="E35" s="9">
        <v>1071</v>
      </c>
      <c r="F35" s="9">
        <v>182.3</v>
      </c>
      <c r="G35" s="11">
        <v>1.4639</v>
      </c>
      <c r="H35" s="13">
        <v>6361</v>
      </c>
      <c r="I35" s="13">
        <v>28423</v>
      </c>
      <c r="J35" s="10">
        <v>97</v>
      </c>
      <c r="K35" s="13">
        <v>36</v>
      </c>
      <c r="L35" s="17">
        <v>25.06</v>
      </c>
      <c r="M35" s="13">
        <v>0</v>
      </c>
    </row>
    <row r="36" spans="1:13" x14ac:dyDescent="0.25">
      <c r="A36" s="10">
        <v>35</v>
      </c>
      <c r="B36" s="10">
        <v>35</v>
      </c>
      <c r="C36" s="13">
        <v>910451</v>
      </c>
      <c r="D36" s="13">
        <v>909811</v>
      </c>
      <c r="E36" s="9">
        <v>1071.7</v>
      </c>
      <c r="F36" s="9">
        <v>182</v>
      </c>
      <c r="G36" s="11">
        <v>1.4642999999999999</v>
      </c>
      <c r="H36" s="13">
        <v>4716</v>
      </c>
      <c r="I36" s="13">
        <v>29297</v>
      </c>
      <c r="J36" s="10">
        <v>95</v>
      </c>
      <c r="K36" s="13">
        <v>24</v>
      </c>
      <c r="L36" s="17">
        <v>25.07</v>
      </c>
      <c r="M36" s="13">
        <v>0</v>
      </c>
    </row>
    <row r="37" spans="1:13" x14ac:dyDescent="0.25">
      <c r="A37" s="10">
        <v>36</v>
      </c>
      <c r="B37" s="10">
        <v>36</v>
      </c>
      <c r="C37" s="13">
        <v>908968</v>
      </c>
      <c r="D37" s="13">
        <v>908358</v>
      </c>
      <c r="E37" s="9">
        <v>1073</v>
      </c>
      <c r="F37" s="9">
        <v>183.8</v>
      </c>
      <c r="G37" s="11">
        <v>1.4636</v>
      </c>
      <c r="H37" s="13">
        <v>6063</v>
      </c>
      <c r="I37" s="13">
        <v>28375</v>
      </c>
      <c r="J37" s="10">
        <v>98</v>
      </c>
      <c r="K37" s="13">
        <v>32</v>
      </c>
      <c r="L37" s="17">
        <v>25.06</v>
      </c>
      <c r="M37" s="13">
        <v>0</v>
      </c>
    </row>
    <row r="38" spans="1:13" x14ac:dyDescent="0.25">
      <c r="A38" s="10">
        <v>37</v>
      </c>
      <c r="B38" s="10">
        <v>37</v>
      </c>
      <c r="C38" s="13">
        <v>909653</v>
      </c>
      <c r="D38" s="13">
        <v>909130</v>
      </c>
      <c r="E38" s="9">
        <v>1072.4000000000001</v>
      </c>
      <c r="F38" s="9">
        <v>182.8</v>
      </c>
      <c r="G38" s="11">
        <v>1.4633</v>
      </c>
      <c r="H38" s="13">
        <v>2408</v>
      </c>
      <c r="I38" s="13">
        <v>28447</v>
      </c>
      <c r="J38" s="10">
        <v>96</v>
      </c>
      <c r="K38" s="13">
        <v>26</v>
      </c>
      <c r="L38" s="17">
        <v>25.07</v>
      </c>
      <c r="M38" s="13">
        <v>0</v>
      </c>
    </row>
    <row r="39" spans="1:13" x14ac:dyDescent="0.25">
      <c r="A39" s="10">
        <v>38</v>
      </c>
      <c r="B39" s="10">
        <v>38</v>
      </c>
      <c r="C39" s="13">
        <v>910698</v>
      </c>
      <c r="D39" s="13">
        <v>910108</v>
      </c>
      <c r="E39" s="9">
        <v>1069.5</v>
      </c>
      <c r="F39" s="9">
        <v>180.9</v>
      </c>
      <c r="G39" s="11">
        <v>1.4636</v>
      </c>
      <c r="H39" s="13">
        <v>7156</v>
      </c>
      <c r="I39" s="13">
        <v>28938</v>
      </c>
      <c r="J39" s="10">
        <v>99</v>
      </c>
      <c r="K39" s="13">
        <v>32</v>
      </c>
      <c r="L39" s="17">
        <v>25.06</v>
      </c>
      <c r="M39" s="13">
        <v>0</v>
      </c>
    </row>
    <row r="40" spans="1:13" x14ac:dyDescent="0.25">
      <c r="A40" s="10">
        <v>39</v>
      </c>
      <c r="B40" s="10">
        <v>39</v>
      </c>
      <c r="C40" s="13">
        <v>910227</v>
      </c>
      <c r="D40" s="13">
        <v>909617</v>
      </c>
      <c r="E40" s="9">
        <v>1073.5999999999999</v>
      </c>
      <c r="F40" s="9">
        <v>184.8</v>
      </c>
      <c r="G40" s="11">
        <v>1.4633</v>
      </c>
      <c r="H40" s="13">
        <v>9471</v>
      </c>
      <c r="I40" s="13">
        <v>28416</v>
      </c>
      <c r="J40" s="10">
        <v>95</v>
      </c>
      <c r="K40" s="13">
        <v>32</v>
      </c>
      <c r="L40" s="17">
        <v>25.06</v>
      </c>
      <c r="M40" s="13">
        <v>0</v>
      </c>
    </row>
    <row r="41" spans="1:13" x14ac:dyDescent="0.25">
      <c r="A41" s="10">
        <v>40</v>
      </c>
      <c r="B41" s="10">
        <v>40</v>
      </c>
      <c r="C41" s="13">
        <v>910576</v>
      </c>
      <c r="D41" s="13">
        <v>909985</v>
      </c>
      <c r="E41" s="9">
        <v>1070.5</v>
      </c>
      <c r="F41" s="9">
        <v>182</v>
      </c>
      <c r="G41" s="11">
        <v>1.4634</v>
      </c>
      <c r="H41" s="13">
        <v>2948</v>
      </c>
      <c r="I41" s="13">
        <v>28867</v>
      </c>
      <c r="J41" s="10">
        <v>96</v>
      </c>
      <c r="K41" s="13">
        <v>40</v>
      </c>
      <c r="L41" s="17">
        <v>25.07</v>
      </c>
      <c r="M41" s="13">
        <v>0</v>
      </c>
    </row>
    <row r="42" spans="1:13" x14ac:dyDescent="0.25">
      <c r="A42" s="10">
        <v>41</v>
      </c>
      <c r="B42" s="10">
        <v>41</v>
      </c>
      <c r="C42" s="13">
        <v>909975</v>
      </c>
      <c r="D42" s="13">
        <v>909319</v>
      </c>
      <c r="E42" s="9">
        <v>1071</v>
      </c>
      <c r="F42" s="9">
        <v>181.9</v>
      </c>
      <c r="G42" s="11">
        <v>1.4642999999999999</v>
      </c>
      <c r="H42" s="13">
        <v>7478</v>
      </c>
      <c r="I42" s="13">
        <v>28042</v>
      </c>
      <c r="J42" s="10">
        <v>98</v>
      </c>
      <c r="K42" s="13">
        <v>44</v>
      </c>
      <c r="L42" s="17">
        <v>25.06</v>
      </c>
      <c r="M42" s="13">
        <v>0</v>
      </c>
    </row>
    <row r="43" spans="1:13" x14ac:dyDescent="0.25">
      <c r="A43" s="10">
        <v>42</v>
      </c>
      <c r="B43" s="10">
        <v>42</v>
      </c>
      <c r="C43" s="13">
        <v>911620</v>
      </c>
      <c r="D43" s="13">
        <v>911008</v>
      </c>
      <c r="E43" s="9">
        <v>1067.5</v>
      </c>
      <c r="F43" s="9">
        <v>178.6</v>
      </c>
      <c r="G43" s="11">
        <v>1.4635</v>
      </c>
      <c r="H43" s="13">
        <v>2296</v>
      </c>
      <c r="I43" s="13">
        <v>28494</v>
      </c>
      <c r="J43" s="10">
        <v>98</v>
      </c>
      <c r="K43" s="13">
        <v>20</v>
      </c>
      <c r="L43" s="17">
        <v>25.06</v>
      </c>
      <c r="M43" s="13">
        <v>0</v>
      </c>
    </row>
    <row r="44" spans="1:13" x14ac:dyDescent="0.25">
      <c r="A44" s="10">
        <v>43</v>
      </c>
      <c r="B44" s="10">
        <v>43</v>
      </c>
      <c r="C44" s="13">
        <v>911577</v>
      </c>
      <c r="D44" s="13">
        <v>911035</v>
      </c>
      <c r="E44" s="9">
        <v>1070.7</v>
      </c>
      <c r="F44" s="9">
        <v>182.6</v>
      </c>
      <c r="G44" s="11">
        <v>1.4643999999999999</v>
      </c>
      <c r="H44" s="13">
        <v>7880</v>
      </c>
      <c r="I44" s="13">
        <v>28893</v>
      </c>
      <c r="J44" s="10">
        <v>96</v>
      </c>
      <c r="K44" s="13">
        <v>51</v>
      </c>
      <c r="L44" s="17">
        <v>25.07</v>
      </c>
      <c r="M44" s="13">
        <v>0</v>
      </c>
    </row>
    <row r="45" spans="1:13" x14ac:dyDescent="0.25">
      <c r="A45" s="10">
        <v>44</v>
      </c>
      <c r="B45" s="10">
        <v>44</v>
      </c>
      <c r="C45" s="13">
        <v>911349</v>
      </c>
      <c r="D45" s="13">
        <v>910800</v>
      </c>
      <c r="E45" s="9">
        <v>1070.7</v>
      </c>
      <c r="F45" s="9">
        <v>181.4</v>
      </c>
      <c r="G45" s="11">
        <v>1.4641</v>
      </c>
      <c r="H45" s="13">
        <v>3026</v>
      </c>
      <c r="I45" s="13">
        <v>28171</v>
      </c>
      <c r="J45" s="10">
        <v>97</v>
      </c>
      <c r="K45" s="13">
        <v>45</v>
      </c>
      <c r="L45" s="17">
        <v>25.06</v>
      </c>
      <c r="M45" s="13">
        <v>0</v>
      </c>
    </row>
    <row r="46" spans="1:13" x14ac:dyDescent="0.25">
      <c r="A46" s="10">
        <v>45</v>
      </c>
      <c r="B46" s="10">
        <v>45</v>
      </c>
      <c r="C46" s="13">
        <v>911136</v>
      </c>
      <c r="D46" s="13">
        <v>910537</v>
      </c>
      <c r="E46" s="9">
        <v>1069.5</v>
      </c>
      <c r="F46" s="9">
        <v>180.1</v>
      </c>
      <c r="G46" s="11">
        <v>1.4648000000000001</v>
      </c>
      <c r="H46" s="13">
        <v>2583</v>
      </c>
      <c r="I46" s="13">
        <v>28328</v>
      </c>
      <c r="J46" s="10">
        <v>95</v>
      </c>
      <c r="K46" s="13">
        <v>33</v>
      </c>
      <c r="L46" s="17">
        <v>25.06</v>
      </c>
      <c r="M46" s="13">
        <v>0</v>
      </c>
    </row>
    <row r="47" spans="1:13" x14ac:dyDescent="0.25">
      <c r="A47" s="10">
        <v>46</v>
      </c>
      <c r="B47" s="10">
        <v>46</v>
      </c>
      <c r="C47" s="13">
        <v>911798</v>
      </c>
      <c r="D47" s="13">
        <v>911193</v>
      </c>
      <c r="E47" s="9">
        <v>1071.5</v>
      </c>
      <c r="F47" s="9">
        <v>182.7</v>
      </c>
      <c r="G47" s="11">
        <v>1.4645999999999999</v>
      </c>
      <c r="H47" s="13">
        <v>4345</v>
      </c>
      <c r="I47" s="13">
        <v>28079</v>
      </c>
      <c r="J47" s="10">
        <v>97</v>
      </c>
      <c r="K47" s="13">
        <v>36</v>
      </c>
      <c r="L47" s="17">
        <v>25.06</v>
      </c>
      <c r="M47" s="13">
        <v>0</v>
      </c>
    </row>
    <row r="48" spans="1:13" x14ac:dyDescent="0.25">
      <c r="A48" s="10">
        <v>47</v>
      </c>
      <c r="B48" s="10">
        <v>47</v>
      </c>
      <c r="C48" s="13">
        <v>909117</v>
      </c>
      <c r="D48" s="13">
        <v>908569</v>
      </c>
      <c r="E48" s="9">
        <v>1069.9000000000001</v>
      </c>
      <c r="F48" s="9">
        <v>180.4</v>
      </c>
      <c r="G48" s="11">
        <v>1.4631000000000001</v>
      </c>
      <c r="H48" s="13">
        <v>2374</v>
      </c>
      <c r="I48" s="13">
        <v>28487</v>
      </c>
      <c r="J48" s="10">
        <v>96</v>
      </c>
      <c r="K48" s="13">
        <v>49</v>
      </c>
      <c r="L48" s="17">
        <v>25.06</v>
      </c>
      <c r="M48" s="13">
        <v>0</v>
      </c>
    </row>
    <row r="49" spans="1:13" x14ac:dyDescent="0.25">
      <c r="A49" s="10">
        <v>48</v>
      </c>
      <c r="B49" s="10">
        <v>48</v>
      </c>
      <c r="C49" s="13">
        <v>911062</v>
      </c>
      <c r="D49" s="13">
        <v>910476</v>
      </c>
      <c r="E49" s="9">
        <v>1068.5999999999999</v>
      </c>
      <c r="F49" s="9">
        <v>180</v>
      </c>
      <c r="G49" s="11">
        <v>1.4630000000000001</v>
      </c>
      <c r="H49" s="13">
        <v>2791</v>
      </c>
      <c r="I49" s="13">
        <v>28237</v>
      </c>
      <c r="J49" s="10">
        <v>96</v>
      </c>
      <c r="K49" s="13">
        <v>41</v>
      </c>
      <c r="L49" s="17">
        <v>25.06</v>
      </c>
      <c r="M49" s="13">
        <v>0</v>
      </c>
    </row>
    <row r="50" spans="1:13" x14ac:dyDescent="0.25">
      <c r="A50" s="10">
        <v>49</v>
      </c>
      <c r="B50" s="10">
        <v>49</v>
      </c>
      <c r="C50" s="13">
        <v>909818</v>
      </c>
      <c r="D50" s="13">
        <v>909228</v>
      </c>
      <c r="E50" s="9">
        <v>1072.3</v>
      </c>
      <c r="F50" s="9">
        <v>183.6</v>
      </c>
      <c r="G50" s="11">
        <v>1.4636</v>
      </c>
      <c r="H50" s="13">
        <v>4066</v>
      </c>
      <c r="I50" s="13">
        <v>28474</v>
      </c>
      <c r="J50" s="10">
        <v>97</v>
      </c>
      <c r="K50" s="13">
        <v>19</v>
      </c>
      <c r="L50" s="17">
        <v>25.07</v>
      </c>
      <c r="M50" s="13">
        <v>0</v>
      </c>
    </row>
    <row r="51" spans="1:13" x14ac:dyDescent="0.25">
      <c r="A51" s="10">
        <v>50</v>
      </c>
      <c r="B51" s="10">
        <v>50</v>
      </c>
      <c r="C51" s="13">
        <v>911240</v>
      </c>
      <c r="D51" s="13">
        <v>910641</v>
      </c>
      <c r="E51" s="9">
        <v>1069.7</v>
      </c>
      <c r="F51" s="9">
        <v>180.6</v>
      </c>
      <c r="G51" s="11">
        <v>1.4638</v>
      </c>
      <c r="H51" s="13">
        <v>5206</v>
      </c>
      <c r="I51" s="13">
        <v>27904</v>
      </c>
      <c r="J51" s="10">
        <v>97</v>
      </c>
      <c r="K51" s="13">
        <v>35</v>
      </c>
      <c r="L51" s="17">
        <v>25.06</v>
      </c>
      <c r="M51" s="13">
        <v>0</v>
      </c>
    </row>
    <row r="52" spans="1:13" x14ac:dyDescent="0.25">
      <c r="A52" s="10">
        <v>51</v>
      </c>
      <c r="B52" s="10">
        <v>51</v>
      </c>
      <c r="C52" s="13">
        <v>910457</v>
      </c>
      <c r="D52" s="13">
        <v>909856</v>
      </c>
      <c r="E52" s="9">
        <v>1068.3</v>
      </c>
      <c r="F52" s="9">
        <v>179.6</v>
      </c>
      <c r="G52" s="11">
        <v>1.4637</v>
      </c>
      <c r="H52" s="13">
        <v>1892</v>
      </c>
      <c r="I52" s="13">
        <v>28063</v>
      </c>
      <c r="J52" s="10">
        <v>96</v>
      </c>
      <c r="K52" s="13">
        <v>31</v>
      </c>
      <c r="L52" s="17">
        <v>25.06</v>
      </c>
      <c r="M52" s="13">
        <v>0</v>
      </c>
    </row>
    <row r="53" spans="1:13" x14ac:dyDescent="0.25">
      <c r="A53" s="10">
        <v>52</v>
      </c>
      <c r="B53" s="10">
        <v>52</v>
      </c>
      <c r="C53" s="13">
        <v>910786</v>
      </c>
      <c r="D53" s="13">
        <v>910153</v>
      </c>
      <c r="E53" s="9">
        <v>1073.4000000000001</v>
      </c>
      <c r="F53" s="9">
        <v>184.5</v>
      </c>
      <c r="G53" s="11">
        <v>1.4649000000000001</v>
      </c>
      <c r="H53" s="13">
        <v>4249</v>
      </c>
      <c r="I53" s="13">
        <v>27951</v>
      </c>
      <c r="J53" s="10">
        <v>96</v>
      </c>
      <c r="K53" s="13">
        <v>36</v>
      </c>
      <c r="L53" s="17">
        <v>25.08</v>
      </c>
      <c r="M53" s="13">
        <v>0</v>
      </c>
    </row>
    <row r="54" spans="1:13" x14ac:dyDescent="0.25">
      <c r="A54" s="10">
        <v>53</v>
      </c>
      <c r="B54" s="10">
        <v>53</v>
      </c>
      <c r="C54" s="13">
        <v>908996</v>
      </c>
      <c r="D54" s="13">
        <v>908323</v>
      </c>
      <c r="E54" s="9">
        <v>1069.8</v>
      </c>
      <c r="F54" s="9">
        <v>180.4</v>
      </c>
      <c r="G54" s="11">
        <v>1.4648000000000001</v>
      </c>
      <c r="H54" s="13">
        <v>3557</v>
      </c>
      <c r="I54" s="13">
        <v>28394</v>
      </c>
      <c r="J54" s="10">
        <v>97</v>
      </c>
      <c r="K54" s="13">
        <v>29</v>
      </c>
      <c r="L54" s="17">
        <v>25.06</v>
      </c>
      <c r="M54" s="13">
        <v>0</v>
      </c>
    </row>
    <row r="55" spans="1:13" x14ac:dyDescent="0.25">
      <c r="A55" s="10">
        <v>54</v>
      </c>
      <c r="B55" s="10">
        <v>54</v>
      </c>
      <c r="C55" s="13">
        <v>912161</v>
      </c>
      <c r="D55" s="13">
        <v>911516</v>
      </c>
      <c r="E55" s="9">
        <v>1071.5999999999999</v>
      </c>
      <c r="F55" s="9">
        <v>182.2</v>
      </c>
      <c r="G55" s="11">
        <v>1.4635</v>
      </c>
      <c r="H55" s="13">
        <v>5295</v>
      </c>
      <c r="I55" s="13">
        <v>28148</v>
      </c>
      <c r="J55" s="10">
        <v>97</v>
      </c>
      <c r="K55" s="13">
        <v>39</v>
      </c>
      <c r="L55" s="17">
        <v>25.07</v>
      </c>
      <c r="M55" s="13">
        <v>0</v>
      </c>
    </row>
    <row r="56" spans="1:13" x14ac:dyDescent="0.25">
      <c r="A56" s="10">
        <v>55</v>
      </c>
      <c r="B56" s="10">
        <v>55</v>
      </c>
      <c r="C56" s="13">
        <v>910671</v>
      </c>
      <c r="D56" s="13">
        <v>910077</v>
      </c>
      <c r="E56" s="9">
        <v>1071.9000000000001</v>
      </c>
      <c r="F56" s="9">
        <v>181.8</v>
      </c>
      <c r="G56" s="11">
        <v>1.4639</v>
      </c>
      <c r="H56" s="13">
        <v>3346</v>
      </c>
      <c r="I56" s="13">
        <v>28349</v>
      </c>
      <c r="J56" s="10">
        <v>96</v>
      </c>
      <c r="K56" s="13">
        <v>33</v>
      </c>
      <c r="L56" s="17">
        <v>25.07</v>
      </c>
      <c r="M56" s="13">
        <v>0</v>
      </c>
    </row>
    <row r="57" spans="1:13" x14ac:dyDescent="0.25">
      <c r="A57" s="10">
        <v>56</v>
      </c>
      <c r="B57" s="10">
        <v>56</v>
      </c>
      <c r="C57" s="13">
        <v>909813</v>
      </c>
      <c r="D57" s="13">
        <v>909192</v>
      </c>
      <c r="E57" s="9">
        <v>1068.5999999999999</v>
      </c>
      <c r="F57" s="9">
        <v>179.1</v>
      </c>
      <c r="G57" s="11">
        <v>1.4635</v>
      </c>
      <c r="H57" s="13">
        <v>3676</v>
      </c>
      <c r="I57" s="13">
        <v>28276</v>
      </c>
      <c r="J57" s="10">
        <v>98</v>
      </c>
      <c r="K57" s="13">
        <v>27</v>
      </c>
      <c r="L57" s="17">
        <v>25.06</v>
      </c>
      <c r="M57" s="13">
        <v>0</v>
      </c>
    </row>
    <row r="58" spans="1:13" x14ac:dyDescent="0.25">
      <c r="A58" s="10">
        <v>57</v>
      </c>
      <c r="B58" s="10">
        <v>57</v>
      </c>
      <c r="C58" s="13">
        <v>909687</v>
      </c>
      <c r="D58" s="13">
        <v>909087</v>
      </c>
      <c r="E58" s="9">
        <v>1069.3</v>
      </c>
      <c r="F58" s="9">
        <v>180.3</v>
      </c>
      <c r="G58" s="11">
        <v>1.4644999999999999</v>
      </c>
      <c r="H58" s="13">
        <v>2361</v>
      </c>
      <c r="I58" s="13">
        <v>28260</v>
      </c>
      <c r="J58" s="10">
        <v>95</v>
      </c>
      <c r="K58" s="13">
        <v>41</v>
      </c>
      <c r="L58" s="17">
        <v>25.06</v>
      </c>
      <c r="M58" s="13">
        <v>0</v>
      </c>
    </row>
    <row r="59" spans="1:13" x14ac:dyDescent="0.25">
      <c r="A59" s="10">
        <v>58</v>
      </c>
      <c r="B59" s="10">
        <v>58</v>
      </c>
      <c r="C59" s="13">
        <v>911596</v>
      </c>
      <c r="D59" s="13">
        <v>911079</v>
      </c>
      <c r="E59" s="9">
        <v>1074.9000000000001</v>
      </c>
      <c r="F59" s="9">
        <v>186.4</v>
      </c>
      <c r="G59" s="11">
        <v>1.4634</v>
      </c>
      <c r="H59" s="13">
        <v>4565</v>
      </c>
      <c r="I59" s="13">
        <v>28387</v>
      </c>
      <c r="J59" s="10">
        <v>96</v>
      </c>
      <c r="K59" s="13">
        <v>43</v>
      </c>
      <c r="L59" s="17">
        <v>25.07</v>
      </c>
      <c r="M59" s="13">
        <v>0</v>
      </c>
    </row>
    <row r="60" spans="1:13" x14ac:dyDescent="0.25">
      <c r="A60" s="10">
        <v>59</v>
      </c>
      <c r="B60" s="10">
        <v>59</v>
      </c>
      <c r="C60" s="13">
        <v>911611</v>
      </c>
      <c r="D60" s="13">
        <v>910997</v>
      </c>
      <c r="E60" s="9">
        <v>1068</v>
      </c>
      <c r="F60" s="9">
        <v>179.6</v>
      </c>
      <c r="G60" s="11">
        <v>1.4639</v>
      </c>
      <c r="H60" s="13">
        <v>1134</v>
      </c>
      <c r="I60" s="13">
        <v>28131</v>
      </c>
      <c r="J60" s="10">
        <v>96</v>
      </c>
      <c r="K60" s="13">
        <v>28</v>
      </c>
      <c r="L60" s="17">
        <v>25.06</v>
      </c>
      <c r="M60" s="13">
        <v>0</v>
      </c>
    </row>
    <row r="61" spans="1:13" x14ac:dyDescent="0.25">
      <c r="A61" s="10">
        <v>60</v>
      </c>
      <c r="B61" s="10">
        <v>60</v>
      </c>
      <c r="C61" s="13">
        <v>910302</v>
      </c>
      <c r="D61" s="13">
        <v>909755</v>
      </c>
      <c r="E61" s="9">
        <v>1069.5999999999999</v>
      </c>
      <c r="F61" s="9">
        <v>181.3</v>
      </c>
      <c r="G61" s="11">
        <v>1.4639</v>
      </c>
      <c r="H61" s="13">
        <v>1053</v>
      </c>
      <c r="I61" s="13">
        <v>28038</v>
      </c>
      <c r="J61" s="10">
        <v>97</v>
      </c>
      <c r="K61" s="13">
        <v>54</v>
      </c>
      <c r="L61" s="17">
        <v>25.07</v>
      </c>
      <c r="M61" s="13">
        <v>0</v>
      </c>
    </row>
    <row r="62" spans="1:13" x14ac:dyDescent="0.25">
      <c r="A62" s="10">
        <v>61</v>
      </c>
      <c r="B62" s="10">
        <v>61</v>
      </c>
      <c r="C62" s="13">
        <v>909270</v>
      </c>
      <c r="D62" s="13">
        <v>908570</v>
      </c>
      <c r="E62" s="9">
        <v>1072.0999999999999</v>
      </c>
      <c r="F62" s="9">
        <v>183.2</v>
      </c>
      <c r="G62" s="11">
        <v>1.4639</v>
      </c>
      <c r="H62" s="13">
        <v>6608</v>
      </c>
      <c r="I62" s="13">
        <v>28225</v>
      </c>
      <c r="J62" s="10">
        <v>98</v>
      </c>
      <c r="K62" s="13">
        <v>30</v>
      </c>
      <c r="L62" s="17">
        <v>25.07</v>
      </c>
      <c r="M62" s="13">
        <v>0</v>
      </c>
    </row>
    <row r="63" spans="1:13" x14ac:dyDescent="0.25">
      <c r="A63" s="10">
        <v>62</v>
      </c>
      <c r="B63" s="10">
        <v>62</v>
      </c>
      <c r="C63" s="13">
        <v>910817</v>
      </c>
      <c r="D63" s="13">
        <v>910205</v>
      </c>
      <c r="E63" s="9">
        <v>1070.5999999999999</v>
      </c>
      <c r="F63" s="9">
        <v>181.7</v>
      </c>
      <c r="G63" s="11">
        <v>1.4630000000000001</v>
      </c>
      <c r="H63" s="13">
        <v>3488</v>
      </c>
      <c r="I63" s="13">
        <v>27788</v>
      </c>
      <c r="J63" s="10">
        <v>96</v>
      </c>
      <c r="K63" s="13">
        <v>32</v>
      </c>
      <c r="L63" s="17">
        <v>25.06</v>
      </c>
      <c r="M63" s="13">
        <v>0</v>
      </c>
    </row>
    <row r="64" spans="1:13" x14ac:dyDescent="0.25">
      <c r="A64" s="10">
        <v>63</v>
      </c>
      <c r="B64" s="10">
        <v>63</v>
      </c>
      <c r="C64" s="13">
        <v>911372</v>
      </c>
      <c r="D64" s="13">
        <v>910731</v>
      </c>
      <c r="E64" s="9">
        <v>1069.4000000000001</v>
      </c>
      <c r="F64" s="9">
        <v>180.1</v>
      </c>
      <c r="G64" s="11">
        <v>1.4651000000000001</v>
      </c>
      <c r="H64" s="13">
        <v>2686</v>
      </c>
      <c r="I64" s="13">
        <v>28417</v>
      </c>
      <c r="J64" s="10">
        <v>97</v>
      </c>
      <c r="K64" s="13">
        <v>74</v>
      </c>
      <c r="L64" s="17">
        <v>25.06</v>
      </c>
      <c r="M64" s="13">
        <v>0</v>
      </c>
    </row>
    <row r="65" spans="1:13" x14ac:dyDescent="0.25">
      <c r="A65" s="10">
        <v>64</v>
      </c>
      <c r="B65" s="10">
        <v>64</v>
      </c>
      <c r="C65" s="13">
        <v>910229</v>
      </c>
      <c r="D65" s="13">
        <v>909582</v>
      </c>
      <c r="E65" s="9">
        <v>1068.5</v>
      </c>
      <c r="F65" s="9">
        <v>180.1</v>
      </c>
      <c r="G65" s="11">
        <v>1.4644999999999999</v>
      </c>
      <c r="H65" s="13">
        <v>1763</v>
      </c>
      <c r="I65" s="13">
        <v>28280</v>
      </c>
      <c r="J65" s="10">
        <v>96</v>
      </c>
      <c r="K65" s="13">
        <v>51</v>
      </c>
      <c r="L65" s="17">
        <v>25.06</v>
      </c>
      <c r="M65" s="13">
        <v>0</v>
      </c>
    </row>
    <row r="66" spans="1:13" x14ac:dyDescent="0.25">
      <c r="A66" s="10">
        <v>65</v>
      </c>
      <c r="B66" s="10">
        <v>65</v>
      </c>
      <c r="C66" s="13">
        <v>911775</v>
      </c>
      <c r="D66" s="13">
        <v>911157</v>
      </c>
      <c r="E66" s="9">
        <v>1066.0999999999999</v>
      </c>
      <c r="F66" s="9">
        <v>177.3</v>
      </c>
      <c r="G66" s="11">
        <v>1.4644999999999999</v>
      </c>
      <c r="H66" s="13">
        <v>1623</v>
      </c>
      <c r="I66" s="13">
        <v>27836</v>
      </c>
      <c r="J66" s="10">
        <v>97</v>
      </c>
      <c r="K66" s="13">
        <v>42</v>
      </c>
      <c r="L66" s="17">
        <v>25.06</v>
      </c>
      <c r="M66" s="13">
        <v>0</v>
      </c>
    </row>
    <row r="67" spans="1:13" x14ac:dyDescent="0.25">
      <c r="A67" s="10">
        <v>66</v>
      </c>
      <c r="B67" s="10">
        <v>66</v>
      </c>
      <c r="C67" s="13">
        <v>910637</v>
      </c>
      <c r="D67" s="13">
        <v>910012</v>
      </c>
      <c r="E67" s="9">
        <v>1072.5999999999999</v>
      </c>
      <c r="F67" s="9">
        <v>183.7</v>
      </c>
      <c r="G67" s="11">
        <v>1.4637</v>
      </c>
      <c r="H67" s="13">
        <v>9921</v>
      </c>
      <c r="I67" s="13">
        <v>28043</v>
      </c>
      <c r="J67" s="10">
        <v>98</v>
      </c>
      <c r="K67" s="13">
        <v>42</v>
      </c>
      <c r="L67" s="17">
        <v>25.06</v>
      </c>
      <c r="M67" s="13">
        <v>0</v>
      </c>
    </row>
    <row r="68" spans="1:13" x14ac:dyDescent="0.25">
      <c r="A68" s="10">
        <v>67</v>
      </c>
      <c r="B68" s="10">
        <v>67</v>
      </c>
      <c r="C68" s="13">
        <v>911559</v>
      </c>
      <c r="D68" s="13">
        <v>910946</v>
      </c>
      <c r="E68" s="9">
        <v>1068.3</v>
      </c>
      <c r="F68" s="9">
        <v>179.8</v>
      </c>
      <c r="G68" s="11">
        <v>1.4635</v>
      </c>
      <c r="H68" s="13">
        <v>3098</v>
      </c>
      <c r="I68" s="13">
        <v>28196</v>
      </c>
      <c r="J68" s="10">
        <v>96</v>
      </c>
      <c r="K68" s="13">
        <v>44</v>
      </c>
      <c r="L68" s="17">
        <v>25.06</v>
      </c>
      <c r="M68" s="13">
        <v>0</v>
      </c>
    </row>
    <row r="69" spans="1:13" x14ac:dyDescent="0.25">
      <c r="A69" s="10">
        <v>68</v>
      </c>
      <c r="B69" s="10">
        <v>68</v>
      </c>
      <c r="C69" s="13">
        <v>910388</v>
      </c>
      <c r="D69" s="13">
        <v>909804</v>
      </c>
      <c r="E69" s="9">
        <v>1076.3</v>
      </c>
      <c r="F69" s="9">
        <v>187.8</v>
      </c>
      <c r="G69" s="11">
        <v>1.4641999999999999</v>
      </c>
      <c r="H69" s="13">
        <v>17049</v>
      </c>
      <c r="I69" s="13">
        <v>28222</v>
      </c>
      <c r="J69" s="10">
        <v>97</v>
      </c>
      <c r="K69" s="13">
        <v>27</v>
      </c>
      <c r="L69" s="17">
        <v>25.07</v>
      </c>
      <c r="M69" s="13">
        <v>0</v>
      </c>
    </row>
    <row r="70" spans="1:13" x14ac:dyDescent="0.25">
      <c r="A70" s="10">
        <v>69</v>
      </c>
      <c r="B70" s="10">
        <v>69</v>
      </c>
      <c r="C70" s="13">
        <v>910748</v>
      </c>
      <c r="D70" s="13">
        <v>910235</v>
      </c>
      <c r="E70" s="9">
        <v>1072</v>
      </c>
      <c r="F70" s="9">
        <v>182.3</v>
      </c>
      <c r="G70" s="11">
        <v>1.464</v>
      </c>
      <c r="H70" s="13">
        <v>6324</v>
      </c>
      <c r="I70" s="13">
        <v>28279</v>
      </c>
      <c r="J70" s="10">
        <v>96</v>
      </c>
      <c r="K70" s="13">
        <v>27</v>
      </c>
      <c r="L70" s="17">
        <v>25.07</v>
      </c>
      <c r="M70" s="13">
        <v>0</v>
      </c>
    </row>
    <row r="71" spans="1:13" x14ac:dyDescent="0.25">
      <c r="A71" s="10">
        <v>70</v>
      </c>
      <c r="B71" s="10">
        <v>70</v>
      </c>
      <c r="C71" s="13">
        <v>910880</v>
      </c>
      <c r="D71" s="13">
        <v>910300</v>
      </c>
      <c r="E71" s="9">
        <v>1067.9000000000001</v>
      </c>
      <c r="F71" s="9">
        <v>178.7</v>
      </c>
      <c r="G71" s="11">
        <v>1.4650000000000001</v>
      </c>
      <c r="H71" s="13">
        <v>1048</v>
      </c>
      <c r="I71" s="13">
        <v>28452</v>
      </c>
      <c r="J71" s="10">
        <v>96</v>
      </c>
      <c r="K71" s="13">
        <v>42</v>
      </c>
      <c r="L71" s="17">
        <v>25.06</v>
      </c>
      <c r="M71" s="13">
        <v>0</v>
      </c>
    </row>
    <row r="72" spans="1:13" x14ac:dyDescent="0.25">
      <c r="A72" s="10">
        <v>71</v>
      </c>
      <c r="B72" s="10">
        <v>71</v>
      </c>
      <c r="C72" s="13">
        <v>910288</v>
      </c>
      <c r="D72" s="13">
        <v>909684</v>
      </c>
      <c r="E72" s="9">
        <v>1075.4000000000001</v>
      </c>
      <c r="F72" s="9">
        <v>186.3</v>
      </c>
      <c r="G72" s="11">
        <v>1.4637</v>
      </c>
      <c r="H72" s="13">
        <v>13114</v>
      </c>
      <c r="I72" s="13">
        <v>28462</v>
      </c>
      <c r="J72" s="10">
        <v>99</v>
      </c>
      <c r="K72" s="13">
        <v>37</v>
      </c>
      <c r="L72" s="17">
        <v>25.07</v>
      </c>
      <c r="M72" s="13">
        <v>0</v>
      </c>
    </row>
    <row r="73" spans="1:13" x14ac:dyDescent="0.25">
      <c r="A73" s="10">
        <v>72</v>
      </c>
      <c r="B73" s="10">
        <v>72</v>
      </c>
      <c r="C73" s="13">
        <v>909099</v>
      </c>
      <c r="D73" s="13">
        <v>908571</v>
      </c>
      <c r="E73" s="9">
        <v>1075.3</v>
      </c>
      <c r="F73" s="9">
        <v>186.9</v>
      </c>
      <c r="G73" s="11">
        <v>1.464</v>
      </c>
      <c r="H73" s="13">
        <v>19282</v>
      </c>
      <c r="I73" s="13">
        <v>29832</v>
      </c>
      <c r="J73" s="10">
        <v>97</v>
      </c>
      <c r="K73" s="13">
        <v>33</v>
      </c>
      <c r="L73" s="17">
        <v>25.06</v>
      </c>
      <c r="M73" s="13">
        <v>0</v>
      </c>
    </row>
    <row r="74" spans="1:13" x14ac:dyDescent="0.25">
      <c r="A74" s="10">
        <v>73</v>
      </c>
      <c r="B74" s="10">
        <v>73</v>
      </c>
      <c r="C74" s="13">
        <v>910580</v>
      </c>
      <c r="D74" s="13">
        <v>909933</v>
      </c>
      <c r="E74" s="9">
        <v>1069</v>
      </c>
      <c r="F74" s="9">
        <v>180</v>
      </c>
      <c r="G74" s="11">
        <v>1.4636</v>
      </c>
      <c r="H74" s="13">
        <v>4197</v>
      </c>
      <c r="I74" s="13">
        <v>28612</v>
      </c>
      <c r="J74" s="10">
        <v>96</v>
      </c>
      <c r="K74" s="13">
        <v>44</v>
      </c>
      <c r="L74" s="17">
        <v>25.06</v>
      </c>
      <c r="M74" s="13">
        <v>0</v>
      </c>
    </row>
    <row r="75" spans="1:13" x14ac:dyDescent="0.25">
      <c r="A75" s="10">
        <v>74</v>
      </c>
      <c r="B75" s="10">
        <v>74</v>
      </c>
      <c r="C75" s="13">
        <v>910452</v>
      </c>
      <c r="D75" s="13">
        <v>909852</v>
      </c>
      <c r="E75" s="9">
        <v>1068.2</v>
      </c>
      <c r="F75" s="9">
        <v>178.4</v>
      </c>
      <c r="G75" s="11">
        <v>1.4648000000000001</v>
      </c>
      <c r="H75" s="13">
        <v>797</v>
      </c>
      <c r="I75" s="13">
        <v>27922</v>
      </c>
      <c r="J75" s="10">
        <v>97</v>
      </c>
      <c r="K75" s="13">
        <v>45</v>
      </c>
      <c r="L75" s="17">
        <v>25.06</v>
      </c>
      <c r="M75" s="13">
        <v>0</v>
      </c>
    </row>
    <row r="76" spans="1:13" x14ac:dyDescent="0.25">
      <c r="A76" s="10">
        <v>75</v>
      </c>
      <c r="B76" s="10">
        <v>75</v>
      </c>
      <c r="C76" s="13">
        <v>911656</v>
      </c>
      <c r="D76" s="13">
        <v>911142</v>
      </c>
      <c r="E76" s="9">
        <v>1070</v>
      </c>
      <c r="F76" s="9">
        <v>181.3</v>
      </c>
      <c r="G76" s="11">
        <v>1.4629000000000001</v>
      </c>
      <c r="H76" s="13">
        <v>5474</v>
      </c>
      <c r="I76" s="13">
        <v>28039</v>
      </c>
      <c r="J76" s="10">
        <v>97</v>
      </c>
      <c r="K76" s="13">
        <v>37</v>
      </c>
      <c r="L76" s="17">
        <v>25.06</v>
      </c>
      <c r="M76" s="13">
        <v>0</v>
      </c>
    </row>
    <row r="77" spans="1:13" x14ac:dyDescent="0.25">
      <c r="A77" s="10">
        <v>76</v>
      </c>
      <c r="B77" s="10">
        <v>76</v>
      </c>
      <c r="C77" s="13">
        <v>910027</v>
      </c>
      <c r="D77" s="13">
        <v>909312</v>
      </c>
      <c r="E77" s="9">
        <v>1069.5</v>
      </c>
      <c r="F77" s="9">
        <v>180.7</v>
      </c>
      <c r="G77" s="11">
        <v>1.4639</v>
      </c>
      <c r="H77" s="13">
        <v>2087</v>
      </c>
      <c r="I77" s="13">
        <v>28108</v>
      </c>
      <c r="J77" s="10">
        <v>95</v>
      </c>
      <c r="K77" s="13">
        <v>35</v>
      </c>
      <c r="L77" s="17">
        <v>25.07</v>
      </c>
      <c r="M77" s="13">
        <v>0</v>
      </c>
    </row>
    <row r="78" spans="1:13" x14ac:dyDescent="0.25">
      <c r="A78" s="10">
        <v>77</v>
      </c>
      <c r="B78" s="10">
        <v>77</v>
      </c>
      <c r="C78" s="13">
        <v>908848</v>
      </c>
      <c r="D78" s="13">
        <v>908251</v>
      </c>
      <c r="E78" s="9">
        <v>1075.8</v>
      </c>
      <c r="F78" s="9">
        <v>186.3</v>
      </c>
      <c r="G78" s="11">
        <v>1.4641</v>
      </c>
      <c r="H78" s="13">
        <v>8653</v>
      </c>
      <c r="I78" s="13">
        <v>29680</v>
      </c>
      <c r="J78" s="10">
        <v>98</v>
      </c>
      <c r="K78" s="13">
        <v>44</v>
      </c>
      <c r="L78" s="17">
        <v>25.07</v>
      </c>
      <c r="M78" s="13">
        <v>0</v>
      </c>
    </row>
    <row r="79" spans="1:13" x14ac:dyDescent="0.25">
      <c r="A79" s="10">
        <v>78</v>
      </c>
      <c r="B79" s="10">
        <v>78</v>
      </c>
      <c r="C79" s="13">
        <v>909785</v>
      </c>
      <c r="D79" s="13">
        <v>909294</v>
      </c>
      <c r="E79" s="9">
        <v>1070.3</v>
      </c>
      <c r="F79" s="9">
        <v>180.9</v>
      </c>
      <c r="G79" s="11">
        <v>1.4626999999999999</v>
      </c>
      <c r="H79" s="13">
        <v>5786</v>
      </c>
      <c r="I79" s="13">
        <v>28418</v>
      </c>
      <c r="J79" s="10">
        <v>97</v>
      </c>
      <c r="K79" s="13">
        <v>48</v>
      </c>
      <c r="L79" s="17">
        <v>25.06</v>
      </c>
      <c r="M79" s="13">
        <v>0</v>
      </c>
    </row>
    <row r="80" spans="1:13" x14ac:dyDescent="0.25">
      <c r="A80" s="10">
        <v>79</v>
      </c>
      <c r="B80" s="10">
        <v>79</v>
      </c>
      <c r="C80" s="13">
        <v>911026</v>
      </c>
      <c r="D80" s="13">
        <v>910474</v>
      </c>
      <c r="E80" s="9">
        <v>1069.5999999999999</v>
      </c>
      <c r="F80" s="9">
        <v>180.2</v>
      </c>
      <c r="G80" s="11">
        <v>1.4638</v>
      </c>
      <c r="H80" s="13">
        <v>3119</v>
      </c>
      <c r="I80" s="13">
        <v>28347</v>
      </c>
      <c r="J80" s="10">
        <v>97</v>
      </c>
      <c r="K80" s="13">
        <v>51</v>
      </c>
      <c r="L80" s="17">
        <v>25.06</v>
      </c>
      <c r="M80" s="13">
        <v>0</v>
      </c>
    </row>
    <row r="81" spans="1:13" x14ac:dyDescent="0.25">
      <c r="A81" s="10">
        <v>80</v>
      </c>
      <c r="B81" s="10">
        <v>80</v>
      </c>
      <c r="C81" s="13">
        <v>909660</v>
      </c>
      <c r="D81" s="13">
        <v>909094</v>
      </c>
      <c r="E81" s="9">
        <v>1080.5999999999999</v>
      </c>
      <c r="F81" s="9">
        <v>191.4</v>
      </c>
      <c r="G81" s="11">
        <v>1.4638</v>
      </c>
      <c r="H81" s="13">
        <v>22032</v>
      </c>
      <c r="I81" s="13">
        <v>29709</v>
      </c>
      <c r="J81" s="10">
        <v>96</v>
      </c>
      <c r="K81" s="13">
        <v>22</v>
      </c>
      <c r="L81" s="17">
        <v>25.07</v>
      </c>
      <c r="M81" s="13">
        <v>0</v>
      </c>
    </row>
    <row r="82" spans="1:13" x14ac:dyDescent="0.25">
      <c r="A82" s="10">
        <v>81</v>
      </c>
      <c r="B82" s="10">
        <v>81</v>
      </c>
      <c r="C82" s="13">
        <v>911306</v>
      </c>
      <c r="D82" s="13">
        <v>910721</v>
      </c>
      <c r="E82" s="9">
        <v>1072.3</v>
      </c>
      <c r="F82" s="9">
        <v>182.7</v>
      </c>
      <c r="G82" s="11">
        <v>1.4644999999999999</v>
      </c>
      <c r="H82" s="13">
        <v>9397</v>
      </c>
      <c r="I82" s="13">
        <v>28381</v>
      </c>
      <c r="J82" s="10">
        <v>95</v>
      </c>
      <c r="K82" s="13">
        <v>53</v>
      </c>
      <c r="L82" s="17">
        <v>25.06</v>
      </c>
      <c r="M82" s="13">
        <v>0</v>
      </c>
    </row>
    <row r="83" spans="1:13" x14ac:dyDescent="0.25">
      <c r="A83" s="10">
        <v>82</v>
      </c>
      <c r="B83" s="10">
        <v>82</v>
      </c>
      <c r="C83" s="13">
        <v>911405</v>
      </c>
      <c r="D83" s="13">
        <v>910837</v>
      </c>
      <c r="E83" s="9">
        <v>1072.4000000000001</v>
      </c>
      <c r="F83" s="9">
        <v>183.3</v>
      </c>
      <c r="G83" s="11">
        <v>1.4644999999999999</v>
      </c>
      <c r="H83" s="13">
        <v>5226</v>
      </c>
      <c r="I83" s="13">
        <v>28556</v>
      </c>
      <c r="J83" s="10">
        <v>96</v>
      </c>
      <c r="K83" s="13">
        <v>45</v>
      </c>
      <c r="L83" s="17">
        <v>25.07</v>
      </c>
      <c r="M83" s="13">
        <v>0</v>
      </c>
    </row>
    <row r="84" spans="1:13" x14ac:dyDescent="0.25">
      <c r="A84" s="10">
        <v>83</v>
      </c>
      <c r="B84" s="10">
        <v>83</v>
      </c>
      <c r="C84" s="13">
        <v>910362</v>
      </c>
      <c r="D84" s="13">
        <v>909797</v>
      </c>
      <c r="E84" s="9">
        <v>1068.0999999999999</v>
      </c>
      <c r="F84" s="9">
        <v>178.5</v>
      </c>
      <c r="G84" s="11">
        <v>1.4634</v>
      </c>
      <c r="H84" s="13">
        <v>3244</v>
      </c>
      <c r="I84" s="13">
        <v>28061</v>
      </c>
      <c r="J84" s="10">
        <v>98</v>
      </c>
      <c r="K84" s="13">
        <v>24</v>
      </c>
      <c r="L84" s="17">
        <v>25.06</v>
      </c>
      <c r="M84" s="13">
        <v>0</v>
      </c>
    </row>
    <row r="85" spans="1:13" x14ac:dyDescent="0.25">
      <c r="A85" s="10">
        <v>84</v>
      </c>
      <c r="B85" s="10">
        <v>84</v>
      </c>
      <c r="C85" s="13">
        <v>910744</v>
      </c>
      <c r="D85" s="13">
        <v>910072</v>
      </c>
      <c r="E85" s="9">
        <v>1072.5</v>
      </c>
      <c r="F85" s="9">
        <v>183.6</v>
      </c>
      <c r="G85" s="11">
        <v>1.4642999999999999</v>
      </c>
      <c r="H85" s="13">
        <v>2596</v>
      </c>
      <c r="I85" s="13">
        <v>28185</v>
      </c>
      <c r="J85" s="10">
        <v>97</v>
      </c>
      <c r="K85" s="13">
        <v>41</v>
      </c>
      <c r="L85" s="17">
        <v>25.07</v>
      </c>
      <c r="M85" s="13">
        <v>0</v>
      </c>
    </row>
    <row r="86" spans="1:13" x14ac:dyDescent="0.25">
      <c r="A86" s="10">
        <v>85</v>
      </c>
      <c r="B86" s="10">
        <v>85</v>
      </c>
      <c r="C86" s="13">
        <v>911628</v>
      </c>
      <c r="D86" s="13">
        <v>911018</v>
      </c>
      <c r="E86" s="9">
        <v>1069</v>
      </c>
      <c r="F86" s="9">
        <v>180.4</v>
      </c>
      <c r="G86" s="11">
        <v>1.4636</v>
      </c>
      <c r="H86" s="13">
        <v>1876</v>
      </c>
      <c r="I86" s="13">
        <v>28399</v>
      </c>
      <c r="J86" s="10">
        <v>94</v>
      </c>
      <c r="K86" s="13">
        <v>50</v>
      </c>
      <c r="L86" s="17">
        <v>25.06</v>
      </c>
      <c r="M86" s="13">
        <v>0</v>
      </c>
    </row>
    <row r="87" spans="1:13" x14ac:dyDescent="0.25">
      <c r="A87" s="10">
        <v>86</v>
      </c>
      <c r="B87" s="10">
        <v>86</v>
      </c>
      <c r="C87" s="13">
        <v>910372</v>
      </c>
      <c r="D87" s="13">
        <v>909802</v>
      </c>
      <c r="E87" s="9">
        <v>1067.8</v>
      </c>
      <c r="F87" s="9">
        <v>179</v>
      </c>
      <c r="G87" s="11">
        <v>1.4636</v>
      </c>
      <c r="H87" s="13">
        <v>2337</v>
      </c>
      <c r="I87" s="13">
        <v>28432</v>
      </c>
      <c r="J87" s="10">
        <v>95</v>
      </c>
      <c r="K87" s="13">
        <v>40</v>
      </c>
      <c r="L87" s="17">
        <v>25.07</v>
      </c>
      <c r="M87" s="13">
        <v>0</v>
      </c>
    </row>
    <row r="88" spans="1:13" x14ac:dyDescent="0.25">
      <c r="A88" s="10">
        <v>87</v>
      </c>
      <c r="B88" s="10">
        <v>87</v>
      </c>
      <c r="C88" s="13">
        <v>908751</v>
      </c>
      <c r="D88" s="13">
        <v>908150</v>
      </c>
      <c r="E88" s="9">
        <v>1069.7</v>
      </c>
      <c r="F88" s="9">
        <v>181.3</v>
      </c>
      <c r="G88" s="11">
        <v>1.4628000000000001</v>
      </c>
      <c r="H88" s="13">
        <v>2686</v>
      </c>
      <c r="I88" s="13">
        <v>28028</v>
      </c>
      <c r="J88" s="10">
        <v>94</v>
      </c>
      <c r="K88" s="13">
        <v>36</v>
      </c>
      <c r="L88" s="17">
        <v>25.07</v>
      </c>
      <c r="M88" s="13">
        <v>0</v>
      </c>
    </row>
    <row r="89" spans="1:13" x14ac:dyDescent="0.25">
      <c r="A89" s="10">
        <v>88</v>
      </c>
      <c r="B89" s="10">
        <v>88</v>
      </c>
      <c r="C89" s="13">
        <v>911250</v>
      </c>
      <c r="D89" s="13">
        <v>910649</v>
      </c>
      <c r="E89" s="9">
        <v>1069.2</v>
      </c>
      <c r="F89" s="9">
        <v>180</v>
      </c>
      <c r="G89" s="11">
        <v>1.4638</v>
      </c>
      <c r="H89" s="13">
        <v>3992</v>
      </c>
      <c r="I89" s="13">
        <v>28017</v>
      </c>
      <c r="J89" s="10">
        <v>98</v>
      </c>
      <c r="K89" s="13">
        <v>35</v>
      </c>
      <c r="L89" s="17">
        <v>25.06</v>
      </c>
      <c r="M89" s="13">
        <v>0</v>
      </c>
    </row>
    <row r="90" spans="1:13" x14ac:dyDescent="0.25">
      <c r="A90" s="10">
        <v>89</v>
      </c>
      <c r="B90" s="10">
        <v>89</v>
      </c>
      <c r="C90" s="13">
        <v>910192</v>
      </c>
      <c r="D90" s="13">
        <v>909603</v>
      </c>
      <c r="E90" s="9">
        <v>1068.3</v>
      </c>
      <c r="F90" s="9">
        <v>179.3</v>
      </c>
      <c r="G90" s="11">
        <v>1.4628000000000001</v>
      </c>
      <c r="H90" s="13">
        <v>851</v>
      </c>
      <c r="I90" s="13">
        <v>28304</v>
      </c>
      <c r="J90" s="10">
        <v>97</v>
      </c>
      <c r="K90" s="13">
        <v>35</v>
      </c>
      <c r="L90" s="17">
        <v>25.06</v>
      </c>
      <c r="M90" s="13">
        <v>0</v>
      </c>
    </row>
    <row r="91" spans="1:13" x14ac:dyDescent="0.25">
      <c r="A91" s="10">
        <v>90</v>
      </c>
      <c r="B91" s="10">
        <v>90</v>
      </c>
      <c r="C91" s="13">
        <v>911895</v>
      </c>
      <c r="D91" s="13">
        <v>911338</v>
      </c>
      <c r="E91" s="9">
        <v>1070.9000000000001</v>
      </c>
      <c r="F91" s="9">
        <v>181.8</v>
      </c>
      <c r="G91" s="11">
        <v>1.4641</v>
      </c>
      <c r="H91" s="13">
        <v>1609</v>
      </c>
      <c r="I91" s="13">
        <v>28089</v>
      </c>
      <c r="J91" s="10">
        <v>96</v>
      </c>
      <c r="K91" s="13">
        <v>32</v>
      </c>
      <c r="L91" s="17">
        <v>25.07</v>
      </c>
      <c r="M91" s="13">
        <v>0</v>
      </c>
    </row>
    <row r="92" spans="1:13" x14ac:dyDescent="0.25">
      <c r="A92" s="10">
        <v>91</v>
      </c>
      <c r="B92" s="10">
        <v>91</v>
      </c>
      <c r="C92" s="13">
        <v>912217</v>
      </c>
      <c r="D92" s="13">
        <v>911584</v>
      </c>
      <c r="E92" s="9">
        <v>1070</v>
      </c>
      <c r="F92" s="9">
        <v>181.1</v>
      </c>
      <c r="G92" s="11">
        <v>1.4644999999999999</v>
      </c>
      <c r="H92" s="13">
        <v>3419</v>
      </c>
      <c r="I92" s="13">
        <v>27877</v>
      </c>
      <c r="J92" s="10">
        <v>97</v>
      </c>
      <c r="K92" s="13">
        <v>45</v>
      </c>
      <c r="L92" s="17">
        <v>25.06</v>
      </c>
      <c r="M92" s="13">
        <v>0</v>
      </c>
    </row>
    <row r="93" spans="1:13" x14ac:dyDescent="0.25">
      <c r="A93" s="10">
        <v>92</v>
      </c>
      <c r="B93" s="10">
        <v>92</v>
      </c>
      <c r="C93" s="13">
        <v>910658</v>
      </c>
      <c r="D93" s="13">
        <v>910099</v>
      </c>
      <c r="E93" s="9">
        <v>1069.7</v>
      </c>
      <c r="F93" s="9">
        <v>181.1</v>
      </c>
      <c r="G93" s="11">
        <v>1.4646999999999999</v>
      </c>
      <c r="H93" s="13">
        <v>2484</v>
      </c>
      <c r="I93" s="13">
        <v>28248</v>
      </c>
      <c r="J93" s="10">
        <v>97</v>
      </c>
      <c r="K93" s="13">
        <v>35</v>
      </c>
      <c r="L93" s="17">
        <v>25.06</v>
      </c>
      <c r="M93" s="13">
        <v>0</v>
      </c>
    </row>
    <row r="94" spans="1:13" x14ac:dyDescent="0.25">
      <c r="A94" s="10">
        <v>93</v>
      </c>
      <c r="B94" s="10">
        <v>93</v>
      </c>
      <c r="C94" s="13">
        <v>911648</v>
      </c>
      <c r="D94" s="13">
        <v>911023</v>
      </c>
      <c r="E94" s="9">
        <v>1072.8</v>
      </c>
      <c r="F94" s="9">
        <v>183.6</v>
      </c>
      <c r="G94" s="11">
        <v>1.4636</v>
      </c>
      <c r="H94" s="13">
        <v>6565</v>
      </c>
      <c r="I94" s="13">
        <v>28428</v>
      </c>
      <c r="J94" s="10">
        <v>97</v>
      </c>
      <c r="K94" s="13">
        <v>20</v>
      </c>
      <c r="L94" s="17">
        <v>25.07</v>
      </c>
      <c r="M94" s="13">
        <v>0</v>
      </c>
    </row>
    <row r="95" spans="1:13" x14ac:dyDescent="0.25">
      <c r="A95" s="10">
        <v>94</v>
      </c>
      <c r="B95" s="10">
        <v>94</v>
      </c>
      <c r="C95" s="13">
        <v>911403</v>
      </c>
      <c r="D95" s="13">
        <v>910835</v>
      </c>
      <c r="E95" s="9">
        <v>1068</v>
      </c>
      <c r="F95" s="9">
        <v>179.6</v>
      </c>
      <c r="G95" s="11">
        <v>1.4637</v>
      </c>
      <c r="H95" s="13">
        <v>2510</v>
      </c>
      <c r="I95" s="13">
        <v>28183</v>
      </c>
      <c r="J95" s="10">
        <v>97</v>
      </c>
      <c r="K95" s="13">
        <v>43</v>
      </c>
      <c r="L95" s="17">
        <v>25.06</v>
      </c>
      <c r="M95" s="13">
        <v>0</v>
      </c>
    </row>
    <row r="96" spans="1:13" x14ac:dyDescent="0.25">
      <c r="A96" s="10">
        <v>95</v>
      </c>
      <c r="B96" s="10">
        <v>95</v>
      </c>
      <c r="C96" s="13">
        <v>911130</v>
      </c>
      <c r="D96" s="13">
        <v>910576</v>
      </c>
      <c r="E96" s="9">
        <v>1072</v>
      </c>
      <c r="F96" s="9">
        <v>182.6</v>
      </c>
      <c r="G96" s="11">
        <v>1.4634</v>
      </c>
      <c r="H96" s="13">
        <v>3838</v>
      </c>
      <c r="I96" s="13">
        <v>28574</v>
      </c>
      <c r="J96" s="10">
        <v>97</v>
      </c>
      <c r="K96" s="13">
        <v>23</v>
      </c>
      <c r="L96" s="17">
        <v>25.07</v>
      </c>
      <c r="M96" s="13">
        <v>0</v>
      </c>
    </row>
    <row r="97" spans="1:13" x14ac:dyDescent="0.25">
      <c r="A97" s="10">
        <v>96</v>
      </c>
      <c r="B97" s="10">
        <v>96</v>
      </c>
      <c r="C97" s="13">
        <v>912627</v>
      </c>
      <c r="D97" s="13">
        <v>912029</v>
      </c>
      <c r="E97" s="9">
        <v>1073.5999999999999</v>
      </c>
      <c r="F97" s="9">
        <v>184</v>
      </c>
      <c r="G97" s="11">
        <v>1.4641</v>
      </c>
      <c r="H97" s="13">
        <v>9511</v>
      </c>
      <c r="I97" s="13">
        <v>28869</v>
      </c>
      <c r="J97" s="10">
        <v>97</v>
      </c>
      <c r="K97" s="13">
        <v>49</v>
      </c>
      <c r="L97" s="17">
        <v>25.07</v>
      </c>
      <c r="M97" s="13">
        <v>0</v>
      </c>
    </row>
    <row r="98" spans="1:13" x14ac:dyDescent="0.25">
      <c r="A98" s="10">
        <v>97</v>
      </c>
      <c r="B98" s="10">
        <v>97</v>
      </c>
      <c r="C98" s="13">
        <v>909775</v>
      </c>
      <c r="D98" s="13">
        <v>909180</v>
      </c>
      <c r="E98" s="9">
        <v>1070.8</v>
      </c>
      <c r="F98" s="9">
        <v>182.2</v>
      </c>
      <c r="G98" s="11">
        <v>1.4636</v>
      </c>
      <c r="H98" s="13">
        <v>3385</v>
      </c>
      <c r="I98" s="13">
        <v>28548</v>
      </c>
      <c r="J98" s="10">
        <v>96</v>
      </c>
      <c r="K98" s="13">
        <v>33</v>
      </c>
      <c r="L98" s="17">
        <v>25.06</v>
      </c>
      <c r="M98" s="13">
        <v>0</v>
      </c>
    </row>
    <row r="99" spans="1:13" x14ac:dyDescent="0.25">
      <c r="A99" s="10">
        <v>98</v>
      </c>
      <c r="B99" s="10">
        <v>98</v>
      </c>
      <c r="C99" s="13">
        <v>910305</v>
      </c>
      <c r="D99" s="13">
        <v>909716</v>
      </c>
      <c r="E99" s="9">
        <v>1072.0999999999999</v>
      </c>
      <c r="F99" s="9">
        <v>183.4</v>
      </c>
      <c r="G99" s="11">
        <v>1.4628000000000001</v>
      </c>
      <c r="H99" s="13">
        <v>7004</v>
      </c>
      <c r="I99" s="13">
        <v>28457</v>
      </c>
      <c r="J99" s="10">
        <v>97</v>
      </c>
      <c r="K99" s="13">
        <v>43</v>
      </c>
      <c r="L99" s="17">
        <v>25.07</v>
      </c>
      <c r="M99" s="13">
        <v>0</v>
      </c>
    </row>
    <row r="100" spans="1:13" x14ac:dyDescent="0.25">
      <c r="A100" s="10">
        <v>99</v>
      </c>
      <c r="B100" s="10">
        <v>99</v>
      </c>
      <c r="C100" s="13">
        <v>910825</v>
      </c>
      <c r="D100" s="13">
        <v>910236</v>
      </c>
      <c r="E100" s="9">
        <v>1070.2</v>
      </c>
      <c r="F100" s="9">
        <v>181</v>
      </c>
      <c r="G100" s="11">
        <v>1.464</v>
      </c>
      <c r="H100" s="13">
        <v>7190</v>
      </c>
      <c r="I100" s="13">
        <v>28378</v>
      </c>
      <c r="J100" s="10">
        <v>97</v>
      </c>
      <c r="K100" s="13">
        <v>28</v>
      </c>
      <c r="L100" s="17">
        <v>25.06</v>
      </c>
      <c r="M100" s="13">
        <v>0</v>
      </c>
    </row>
    <row r="101" spans="1:13" x14ac:dyDescent="0.25">
      <c r="A101" s="10">
        <v>100</v>
      </c>
      <c r="B101" s="10">
        <v>100</v>
      </c>
      <c r="C101" s="13">
        <v>910528</v>
      </c>
      <c r="D101" s="13">
        <v>909961</v>
      </c>
      <c r="E101" s="9">
        <v>1067.5999999999999</v>
      </c>
      <c r="F101" s="9">
        <v>178.8</v>
      </c>
      <c r="G101" s="11">
        <v>1.4635</v>
      </c>
      <c r="H101" s="13">
        <v>2755</v>
      </c>
      <c r="I101" s="13">
        <v>27916</v>
      </c>
      <c r="J101" s="10">
        <v>97</v>
      </c>
      <c r="K101" s="13">
        <v>30</v>
      </c>
      <c r="L101" s="17">
        <v>25.06</v>
      </c>
      <c r="M101" s="13">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1"/>
  <sheetViews>
    <sheetView workbookViewId="0">
      <pane ySplit="1" topLeftCell="A2" activePane="bottomLeft" state="frozen"/>
      <selection pane="bottomLeft"/>
    </sheetView>
  </sheetViews>
  <sheetFormatPr baseColWidth="10" defaultColWidth="9.140625" defaultRowHeight="15" x14ac:dyDescent="0.25"/>
  <cols>
    <col min="1" max="13" width="15" customWidth="1"/>
  </cols>
  <sheetData>
    <row r="1" spans="1:13" ht="45" customHeight="1" x14ac:dyDescent="0.25">
      <c r="A1" s="7" t="s">
        <v>5</v>
      </c>
      <c r="B1" s="7" t="s">
        <v>159</v>
      </c>
      <c r="C1" s="7" t="s">
        <v>160</v>
      </c>
      <c r="D1" s="7" t="s">
        <v>161</v>
      </c>
      <c r="E1" s="7" t="s">
        <v>31</v>
      </c>
      <c r="F1" s="7" t="s">
        <v>48</v>
      </c>
      <c r="G1" s="7" t="s">
        <v>162</v>
      </c>
      <c r="H1" s="7" t="s">
        <v>163</v>
      </c>
      <c r="I1" s="7" t="s">
        <v>164</v>
      </c>
      <c r="J1" s="7" t="s">
        <v>165</v>
      </c>
      <c r="K1" s="7" t="s">
        <v>166</v>
      </c>
      <c r="L1" s="7" t="s">
        <v>167</v>
      </c>
      <c r="M1" s="7" t="s">
        <v>168</v>
      </c>
    </row>
    <row r="2" spans="1:13" x14ac:dyDescent="0.25">
      <c r="A2" s="10">
        <v>1</v>
      </c>
      <c r="B2" s="10">
        <v>1</v>
      </c>
      <c r="C2" s="13">
        <v>912025</v>
      </c>
      <c r="D2" s="13">
        <v>911386</v>
      </c>
      <c r="E2" s="9">
        <v>1076.7</v>
      </c>
      <c r="F2" s="9">
        <v>187.3</v>
      </c>
      <c r="G2" s="11">
        <v>1.4646999999999999</v>
      </c>
      <c r="H2" s="13">
        <v>4855</v>
      </c>
      <c r="I2" s="13">
        <v>28683</v>
      </c>
      <c r="J2" s="10">
        <v>91</v>
      </c>
      <c r="K2" s="13">
        <v>52</v>
      </c>
      <c r="L2" s="17">
        <v>24.88</v>
      </c>
      <c r="M2" s="13">
        <v>0</v>
      </c>
    </row>
    <row r="3" spans="1:13" x14ac:dyDescent="0.25">
      <c r="A3" s="10">
        <v>2</v>
      </c>
      <c r="B3" s="10">
        <v>2</v>
      </c>
      <c r="C3" s="13">
        <v>911478</v>
      </c>
      <c r="D3" s="13">
        <v>910903</v>
      </c>
      <c r="E3" s="9">
        <v>1071.5</v>
      </c>
      <c r="F3" s="9">
        <v>182</v>
      </c>
      <c r="G3" s="11">
        <v>1.4633</v>
      </c>
      <c r="H3" s="13">
        <v>1518</v>
      </c>
      <c r="I3" s="13">
        <v>28138</v>
      </c>
      <c r="J3" s="10">
        <v>94</v>
      </c>
      <c r="K3" s="13">
        <v>43</v>
      </c>
      <c r="L3" s="17">
        <v>24.87</v>
      </c>
      <c r="M3" s="13">
        <v>0</v>
      </c>
    </row>
    <row r="4" spans="1:13" x14ac:dyDescent="0.25">
      <c r="A4" s="10">
        <v>3</v>
      </c>
      <c r="B4" s="10">
        <v>3</v>
      </c>
      <c r="C4" s="13">
        <v>909069</v>
      </c>
      <c r="D4" s="13">
        <v>908470</v>
      </c>
      <c r="E4" s="9">
        <v>1073</v>
      </c>
      <c r="F4" s="9">
        <v>184.5</v>
      </c>
      <c r="G4" s="11">
        <v>1.4632000000000001</v>
      </c>
      <c r="H4" s="13">
        <v>1327</v>
      </c>
      <c r="I4" s="13">
        <v>28336</v>
      </c>
      <c r="J4" s="10">
        <v>95</v>
      </c>
      <c r="K4" s="13">
        <v>29</v>
      </c>
      <c r="L4" s="17">
        <v>24.88</v>
      </c>
      <c r="M4" s="13">
        <v>0</v>
      </c>
    </row>
    <row r="5" spans="1:13" x14ac:dyDescent="0.25">
      <c r="A5" s="10">
        <v>4</v>
      </c>
      <c r="B5" s="10">
        <v>4</v>
      </c>
      <c r="C5" s="13">
        <v>909735</v>
      </c>
      <c r="D5" s="13">
        <v>909168</v>
      </c>
      <c r="E5" s="9">
        <v>1072.9000000000001</v>
      </c>
      <c r="F5" s="9">
        <v>183.4</v>
      </c>
      <c r="G5" s="11">
        <v>1.4631000000000001</v>
      </c>
      <c r="H5" s="13">
        <v>2836</v>
      </c>
      <c r="I5" s="13">
        <v>28155</v>
      </c>
      <c r="J5" s="10">
        <v>93</v>
      </c>
      <c r="K5" s="13">
        <v>33</v>
      </c>
      <c r="L5" s="17">
        <v>24.87</v>
      </c>
      <c r="M5" s="13">
        <v>0</v>
      </c>
    </row>
    <row r="6" spans="1:13" x14ac:dyDescent="0.25">
      <c r="A6" s="10">
        <v>5</v>
      </c>
      <c r="B6" s="10">
        <v>5</v>
      </c>
      <c r="C6" s="13">
        <v>911254</v>
      </c>
      <c r="D6" s="13">
        <v>910658</v>
      </c>
      <c r="E6" s="9">
        <v>1074.3</v>
      </c>
      <c r="F6" s="9">
        <v>186.2</v>
      </c>
      <c r="G6" s="11">
        <v>1.462</v>
      </c>
      <c r="H6" s="13">
        <v>1524</v>
      </c>
      <c r="I6" s="13">
        <v>28569</v>
      </c>
      <c r="J6" s="10">
        <v>91</v>
      </c>
      <c r="K6" s="13">
        <v>41</v>
      </c>
      <c r="L6" s="17">
        <v>24.88</v>
      </c>
      <c r="M6" s="13">
        <v>0</v>
      </c>
    </row>
    <row r="7" spans="1:13" x14ac:dyDescent="0.25">
      <c r="A7" s="10">
        <v>6</v>
      </c>
      <c r="B7" s="10">
        <v>6</v>
      </c>
      <c r="C7" s="13">
        <v>909943</v>
      </c>
      <c r="D7" s="13">
        <v>909323</v>
      </c>
      <c r="E7" s="9">
        <v>1078.2</v>
      </c>
      <c r="F7" s="9">
        <v>189</v>
      </c>
      <c r="G7" s="11">
        <v>1.4626999999999999</v>
      </c>
      <c r="H7" s="13">
        <v>8591</v>
      </c>
      <c r="I7" s="13">
        <v>28587</v>
      </c>
      <c r="J7" s="10">
        <v>94</v>
      </c>
      <c r="K7" s="13">
        <v>60</v>
      </c>
      <c r="L7" s="17">
        <v>24.88</v>
      </c>
      <c r="M7" s="13">
        <v>0</v>
      </c>
    </row>
    <row r="8" spans="1:13" x14ac:dyDescent="0.25">
      <c r="A8" s="10">
        <v>7</v>
      </c>
      <c r="B8" s="10">
        <v>7</v>
      </c>
      <c r="C8" s="13">
        <v>911816</v>
      </c>
      <c r="D8" s="13">
        <v>911181</v>
      </c>
      <c r="E8" s="9">
        <v>1076.4000000000001</v>
      </c>
      <c r="F8" s="9">
        <v>187.3</v>
      </c>
      <c r="G8" s="11">
        <v>1.4626999999999999</v>
      </c>
      <c r="H8" s="13">
        <v>5341</v>
      </c>
      <c r="I8" s="13">
        <v>28869</v>
      </c>
      <c r="J8" s="10">
        <v>92</v>
      </c>
      <c r="K8" s="13">
        <v>26</v>
      </c>
      <c r="L8" s="17">
        <v>24.88</v>
      </c>
      <c r="M8" s="13">
        <v>0</v>
      </c>
    </row>
    <row r="9" spans="1:13" x14ac:dyDescent="0.25">
      <c r="A9" s="10">
        <v>8</v>
      </c>
      <c r="B9" s="10">
        <v>8</v>
      </c>
      <c r="C9" s="13">
        <v>910364</v>
      </c>
      <c r="D9" s="13">
        <v>909803</v>
      </c>
      <c r="E9" s="9">
        <v>1073.0999999999999</v>
      </c>
      <c r="F9" s="9">
        <v>183.9</v>
      </c>
      <c r="G9" s="11">
        <v>1.4635</v>
      </c>
      <c r="H9" s="13">
        <v>4654</v>
      </c>
      <c r="I9" s="13">
        <v>28211</v>
      </c>
      <c r="J9" s="10">
        <v>93</v>
      </c>
      <c r="K9" s="13">
        <v>44</v>
      </c>
      <c r="L9" s="17">
        <v>24.87</v>
      </c>
      <c r="M9" s="13">
        <v>0</v>
      </c>
    </row>
    <row r="10" spans="1:13" x14ac:dyDescent="0.25">
      <c r="A10" s="10">
        <v>9</v>
      </c>
      <c r="B10" s="10">
        <v>9</v>
      </c>
      <c r="C10" s="13">
        <v>910176</v>
      </c>
      <c r="D10" s="13">
        <v>909553</v>
      </c>
      <c r="E10" s="9">
        <v>1074.5</v>
      </c>
      <c r="F10" s="9">
        <v>185.6</v>
      </c>
      <c r="G10" s="11">
        <v>1.4637</v>
      </c>
      <c r="H10" s="13">
        <v>2094</v>
      </c>
      <c r="I10" s="13">
        <v>28530</v>
      </c>
      <c r="J10" s="10">
        <v>94</v>
      </c>
      <c r="K10" s="13">
        <v>33</v>
      </c>
      <c r="L10" s="17">
        <v>24.88</v>
      </c>
      <c r="M10" s="13">
        <v>0</v>
      </c>
    </row>
    <row r="11" spans="1:13" x14ac:dyDescent="0.25">
      <c r="A11" s="10">
        <v>10</v>
      </c>
      <c r="B11" s="10">
        <v>10</v>
      </c>
      <c r="C11" s="13">
        <v>911519</v>
      </c>
      <c r="D11" s="13">
        <v>910935</v>
      </c>
      <c r="E11" s="9">
        <v>1073.8</v>
      </c>
      <c r="F11" s="9">
        <v>184.5</v>
      </c>
      <c r="G11" s="11">
        <v>1.4619</v>
      </c>
      <c r="H11" s="13">
        <v>2139</v>
      </c>
      <c r="I11" s="13">
        <v>28488</v>
      </c>
      <c r="J11" s="10">
        <v>92</v>
      </c>
      <c r="K11" s="13">
        <v>37</v>
      </c>
      <c r="L11" s="17">
        <v>24.87</v>
      </c>
      <c r="M11" s="13">
        <v>0</v>
      </c>
    </row>
    <row r="12" spans="1:13" x14ac:dyDescent="0.25">
      <c r="A12" s="10">
        <v>11</v>
      </c>
      <c r="B12" s="10">
        <v>11</v>
      </c>
      <c r="C12" s="13">
        <v>909346</v>
      </c>
      <c r="D12" s="13">
        <v>908827</v>
      </c>
      <c r="E12" s="9">
        <v>1076.5</v>
      </c>
      <c r="F12" s="9">
        <v>187.7</v>
      </c>
      <c r="G12" s="11">
        <v>1.4641</v>
      </c>
      <c r="H12" s="13">
        <v>5735</v>
      </c>
      <c r="I12" s="13">
        <v>28650</v>
      </c>
      <c r="J12" s="10">
        <v>92</v>
      </c>
      <c r="K12" s="13">
        <v>43</v>
      </c>
      <c r="L12" s="17">
        <v>24.88</v>
      </c>
      <c r="M12" s="13">
        <v>0</v>
      </c>
    </row>
    <row r="13" spans="1:13" x14ac:dyDescent="0.25">
      <c r="A13" s="10">
        <v>12</v>
      </c>
      <c r="B13" s="10">
        <v>12</v>
      </c>
      <c r="C13" s="13">
        <v>910924</v>
      </c>
      <c r="D13" s="13">
        <v>910344</v>
      </c>
      <c r="E13" s="9">
        <v>1074.8</v>
      </c>
      <c r="F13" s="9">
        <v>184.9</v>
      </c>
      <c r="G13" s="11">
        <v>1.4638</v>
      </c>
      <c r="H13" s="13">
        <v>3015</v>
      </c>
      <c r="I13" s="13">
        <v>28394</v>
      </c>
      <c r="J13" s="10">
        <v>92</v>
      </c>
      <c r="K13" s="13">
        <v>41</v>
      </c>
      <c r="L13" s="17">
        <v>24.87</v>
      </c>
      <c r="M13" s="13">
        <v>0</v>
      </c>
    </row>
    <row r="14" spans="1:13" x14ac:dyDescent="0.25">
      <c r="A14" s="10">
        <v>13</v>
      </c>
      <c r="B14" s="10">
        <v>13</v>
      </c>
      <c r="C14" s="13">
        <v>911125</v>
      </c>
      <c r="D14" s="13">
        <v>910527</v>
      </c>
      <c r="E14" s="9">
        <v>1074.8</v>
      </c>
      <c r="F14" s="9">
        <v>185.8</v>
      </c>
      <c r="G14" s="11">
        <v>1.4637</v>
      </c>
      <c r="H14" s="13">
        <v>3862</v>
      </c>
      <c r="I14" s="13">
        <v>28404</v>
      </c>
      <c r="J14" s="10">
        <v>96</v>
      </c>
      <c r="K14" s="13">
        <v>35</v>
      </c>
      <c r="L14" s="17">
        <v>24.88</v>
      </c>
      <c r="M14" s="13">
        <v>0</v>
      </c>
    </row>
    <row r="15" spans="1:13" x14ac:dyDescent="0.25">
      <c r="A15" s="10">
        <v>14</v>
      </c>
      <c r="B15" s="10">
        <v>14</v>
      </c>
      <c r="C15" s="13">
        <v>910367</v>
      </c>
      <c r="D15" s="13">
        <v>909756</v>
      </c>
      <c r="E15" s="9">
        <v>1075.5</v>
      </c>
      <c r="F15" s="9">
        <v>186.9</v>
      </c>
      <c r="G15" s="11">
        <v>1.4625999999999999</v>
      </c>
      <c r="H15" s="13">
        <v>4940</v>
      </c>
      <c r="I15" s="13">
        <v>28961</v>
      </c>
      <c r="J15" s="10">
        <v>96</v>
      </c>
      <c r="K15" s="13">
        <v>40</v>
      </c>
      <c r="L15" s="17">
        <v>24.88</v>
      </c>
      <c r="M15" s="13">
        <v>0</v>
      </c>
    </row>
    <row r="16" spans="1:13" x14ac:dyDescent="0.25">
      <c r="A16" s="10">
        <v>15</v>
      </c>
      <c r="B16" s="10">
        <v>15</v>
      </c>
      <c r="C16" s="13">
        <v>912269</v>
      </c>
      <c r="D16" s="13">
        <v>911616</v>
      </c>
      <c r="E16" s="9">
        <v>1076.8</v>
      </c>
      <c r="F16" s="9">
        <v>187.7</v>
      </c>
      <c r="G16" s="11">
        <v>1.4625999999999999</v>
      </c>
      <c r="H16" s="13">
        <v>4081</v>
      </c>
      <c r="I16" s="13">
        <v>28605</v>
      </c>
      <c r="J16" s="10">
        <v>95</v>
      </c>
      <c r="K16" s="13">
        <v>44</v>
      </c>
      <c r="L16" s="17">
        <v>24.88</v>
      </c>
      <c r="M16" s="13">
        <v>0</v>
      </c>
    </row>
    <row r="17" spans="1:13" x14ac:dyDescent="0.25">
      <c r="A17" s="10">
        <v>16</v>
      </c>
      <c r="B17" s="10">
        <v>16</v>
      </c>
      <c r="C17" s="13">
        <v>909661</v>
      </c>
      <c r="D17" s="13">
        <v>909079</v>
      </c>
      <c r="E17" s="9">
        <v>1074</v>
      </c>
      <c r="F17" s="9">
        <v>185.4</v>
      </c>
      <c r="G17" s="11">
        <v>1.4635</v>
      </c>
      <c r="H17" s="13">
        <v>3990</v>
      </c>
      <c r="I17" s="13">
        <v>28045</v>
      </c>
      <c r="J17" s="10">
        <v>93</v>
      </c>
      <c r="K17" s="13">
        <v>54</v>
      </c>
      <c r="L17" s="17">
        <v>24.87</v>
      </c>
      <c r="M17" s="13">
        <v>0</v>
      </c>
    </row>
    <row r="18" spans="1:13" x14ac:dyDescent="0.25">
      <c r="A18" s="10">
        <v>17</v>
      </c>
      <c r="B18" s="10">
        <v>17</v>
      </c>
      <c r="C18" s="13">
        <v>910620</v>
      </c>
      <c r="D18" s="13">
        <v>910083</v>
      </c>
      <c r="E18" s="9">
        <v>1074</v>
      </c>
      <c r="F18" s="9">
        <v>185.4</v>
      </c>
      <c r="G18" s="11">
        <v>1.4624999999999999</v>
      </c>
      <c r="H18" s="13">
        <v>3836</v>
      </c>
      <c r="I18" s="13">
        <v>28930</v>
      </c>
      <c r="J18" s="10">
        <v>95</v>
      </c>
      <c r="K18" s="13">
        <v>30</v>
      </c>
      <c r="L18" s="17">
        <v>24.88</v>
      </c>
      <c r="M18" s="13">
        <v>0</v>
      </c>
    </row>
    <row r="19" spans="1:13" x14ac:dyDescent="0.25">
      <c r="A19" s="10">
        <v>18</v>
      </c>
      <c r="B19" s="10">
        <v>18</v>
      </c>
      <c r="C19" s="13">
        <v>911497</v>
      </c>
      <c r="D19" s="13">
        <v>910895</v>
      </c>
      <c r="E19" s="9">
        <v>1076.7</v>
      </c>
      <c r="F19" s="9">
        <v>187.8</v>
      </c>
      <c r="G19" s="11">
        <v>1.4638</v>
      </c>
      <c r="H19" s="13">
        <v>4139</v>
      </c>
      <c r="I19" s="13">
        <v>28232</v>
      </c>
      <c r="J19" s="10">
        <v>93</v>
      </c>
      <c r="K19" s="13">
        <v>39</v>
      </c>
      <c r="L19" s="17">
        <v>24.88</v>
      </c>
      <c r="M19" s="13">
        <v>0</v>
      </c>
    </row>
    <row r="20" spans="1:13" x14ac:dyDescent="0.25">
      <c r="A20" s="10">
        <v>19</v>
      </c>
      <c r="B20" s="10">
        <v>19</v>
      </c>
      <c r="C20" s="13">
        <v>908811</v>
      </c>
      <c r="D20" s="13">
        <v>908127</v>
      </c>
      <c r="E20" s="9">
        <v>1071.5</v>
      </c>
      <c r="F20" s="9">
        <v>182.6</v>
      </c>
      <c r="G20" s="11">
        <v>1.4631000000000001</v>
      </c>
      <c r="H20" s="13">
        <v>1598</v>
      </c>
      <c r="I20" s="13">
        <v>28333</v>
      </c>
      <c r="J20" s="10">
        <v>96</v>
      </c>
      <c r="K20" s="13">
        <v>33</v>
      </c>
      <c r="L20" s="17">
        <v>24.87</v>
      </c>
      <c r="M20" s="13">
        <v>0</v>
      </c>
    </row>
    <row r="21" spans="1:13" x14ac:dyDescent="0.25">
      <c r="A21" s="10">
        <v>20</v>
      </c>
      <c r="B21" s="10">
        <v>20</v>
      </c>
      <c r="C21" s="13">
        <v>910274</v>
      </c>
      <c r="D21" s="13">
        <v>909680</v>
      </c>
      <c r="E21" s="9">
        <v>1074.5999999999999</v>
      </c>
      <c r="F21" s="9">
        <v>186.1</v>
      </c>
      <c r="G21" s="11">
        <v>1.4629000000000001</v>
      </c>
      <c r="H21" s="13">
        <v>2537</v>
      </c>
      <c r="I21" s="13">
        <v>28449</v>
      </c>
      <c r="J21" s="10">
        <v>93</v>
      </c>
      <c r="K21" s="13">
        <v>39</v>
      </c>
      <c r="L21" s="17">
        <v>24.88</v>
      </c>
      <c r="M21" s="13">
        <v>0</v>
      </c>
    </row>
    <row r="22" spans="1:13" x14ac:dyDescent="0.25">
      <c r="A22" s="10">
        <v>21</v>
      </c>
      <c r="B22" s="10">
        <v>21</v>
      </c>
      <c r="C22" s="13">
        <v>911140</v>
      </c>
      <c r="D22" s="13">
        <v>910581</v>
      </c>
      <c r="E22" s="9">
        <v>1076.4000000000001</v>
      </c>
      <c r="F22" s="9">
        <v>187.7</v>
      </c>
      <c r="G22" s="11">
        <v>1.4628000000000001</v>
      </c>
      <c r="H22" s="13">
        <v>13135</v>
      </c>
      <c r="I22" s="13">
        <v>28180</v>
      </c>
      <c r="J22" s="10">
        <v>93</v>
      </c>
      <c r="K22" s="13">
        <v>33</v>
      </c>
      <c r="L22" s="17">
        <v>24.88</v>
      </c>
      <c r="M22" s="13">
        <v>0</v>
      </c>
    </row>
    <row r="23" spans="1:13" x14ac:dyDescent="0.25">
      <c r="A23" s="10">
        <v>22</v>
      </c>
      <c r="B23" s="10">
        <v>22</v>
      </c>
      <c r="C23" s="13">
        <v>910711</v>
      </c>
      <c r="D23" s="13">
        <v>910086</v>
      </c>
      <c r="E23" s="9">
        <v>1069.2</v>
      </c>
      <c r="F23" s="9">
        <v>179.5</v>
      </c>
      <c r="G23" s="11">
        <v>1.4634</v>
      </c>
      <c r="H23" s="13">
        <v>617</v>
      </c>
      <c r="I23" s="13">
        <v>28444</v>
      </c>
      <c r="J23" s="10">
        <v>94</v>
      </c>
      <c r="K23" s="13">
        <v>25</v>
      </c>
      <c r="L23" s="17">
        <v>24.87</v>
      </c>
      <c r="M23" s="13">
        <v>0</v>
      </c>
    </row>
    <row r="24" spans="1:13" x14ac:dyDescent="0.25">
      <c r="A24" s="10">
        <v>23</v>
      </c>
      <c r="B24" s="10">
        <v>23</v>
      </c>
      <c r="C24" s="13">
        <v>912138</v>
      </c>
      <c r="D24" s="13">
        <v>911480</v>
      </c>
      <c r="E24" s="9">
        <v>1073.4000000000001</v>
      </c>
      <c r="F24" s="9">
        <v>185.5</v>
      </c>
      <c r="G24" s="11">
        <v>1.4625999999999999</v>
      </c>
      <c r="H24" s="13">
        <v>2651</v>
      </c>
      <c r="I24" s="13">
        <v>28511</v>
      </c>
      <c r="J24" s="10">
        <v>94</v>
      </c>
      <c r="K24" s="13">
        <v>36</v>
      </c>
      <c r="L24" s="17">
        <v>24.88</v>
      </c>
      <c r="M24" s="13">
        <v>0</v>
      </c>
    </row>
    <row r="25" spans="1:13" x14ac:dyDescent="0.25">
      <c r="A25" s="10">
        <v>24</v>
      </c>
      <c r="B25" s="10">
        <v>24</v>
      </c>
      <c r="C25" s="13">
        <v>910008</v>
      </c>
      <c r="D25" s="13">
        <v>909362</v>
      </c>
      <c r="E25" s="9">
        <v>1071.2</v>
      </c>
      <c r="F25" s="9">
        <v>182.2</v>
      </c>
      <c r="G25" s="11">
        <v>1.4621</v>
      </c>
      <c r="H25" s="13">
        <v>1348</v>
      </c>
      <c r="I25" s="13">
        <v>27789</v>
      </c>
      <c r="J25" s="10">
        <v>93</v>
      </c>
      <c r="K25" s="13">
        <v>40</v>
      </c>
      <c r="L25" s="17">
        <v>24.88</v>
      </c>
      <c r="M25" s="13">
        <v>0</v>
      </c>
    </row>
    <row r="26" spans="1:13" x14ac:dyDescent="0.25">
      <c r="A26" s="10">
        <v>25</v>
      </c>
      <c r="B26" s="10">
        <v>25</v>
      </c>
      <c r="C26" s="13">
        <v>912951</v>
      </c>
      <c r="D26" s="13">
        <v>912362</v>
      </c>
      <c r="E26" s="9">
        <v>1076.3</v>
      </c>
      <c r="F26" s="9">
        <v>187.3</v>
      </c>
      <c r="G26" s="11">
        <v>1.4626999999999999</v>
      </c>
      <c r="H26" s="13">
        <v>5419</v>
      </c>
      <c r="I26" s="13">
        <v>28242</v>
      </c>
      <c r="J26" s="10">
        <v>93</v>
      </c>
      <c r="K26" s="13">
        <v>68</v>
      </c>
      <c r="L26" s="17">
        <v>24.88</v>
      </c>
      <c r="M26" s="13">
        <v>0</v>
      </c>
    </row>
    <row r="27" spans="1:13" x14ac:dyDescent="0.25">
      <c r="A27" s="10">
        <v>26</v>
      </c>
      <c r="B27" s="10">
        <v>26</v>
      </c>
      <c r="C27" s="13">
        <v>911146</v>
      </c>
      <c r="D27" s="13">
        <v>910554</v>
      </c>
      <c r="E27" s="9">
        <v>1074.4000000000001</v>
      </c>
      <c r="F27" s="9">
        <v>185.6</v>
      </c>
      <c r="G27" s="11">
        <v>1.4641999999999999</v>
      </c>
      <c r="H27" s="13">
        <v>3535</v>
      </c>
      <c r="I27" s="13">
        <v>28517</v>
      </c>
      <c r="J27" s="10">
        <v>95</v>
      </c>
      <c r="K27" s="13">
        <v>46</v>
      </c>
      <c r="L27" s="17">
        <v>24.88</v>
      </c>
      <c r="M27" s="13">
        <v>0</v>
      </c>
    </row>
    <row r="28" spans="1:13" x14ac:dyDescent="0.25">
      <c r="A28" s="10">
        <v>27</v>
      </c>
      <c r="B28" s="10">
        <v>27</v>
      </c>
      <c r="C28" s="13">
        <v>911215</v>
      </c>
      <c r="D28" s="13">
        <v>910615</v>
      </c>
      <c r="E28" s="9">
        <v>1074.4000000000001</v>
      </c>
      <c r="F28" s="9">
        <v>185</v>
      </c>
      <c r="G28" s="11">
        <v>1.4636</v>
      </c>
      <c r="H28" s="13">
        <v>1810</v>
      </c>
      <c r="I28" s="13">
        <v>28389</v>
      </c>
      <c r="J28" s="10">
        <v>92</v>
      </c>
      <c r="K28" s="13">
        <v>37</v>
      </c>
      <c r="L28" s="17">
        <v>24.88</v>
      </c>
      <c r="M28" s="13">
        <v>0</v>
      </c>
    </row>
    <row r="29" spans="1:13" x14ac:dyDescent="0.25">
      <c r="A29" s="10">
        <v>28</v>
      </c>
      <c r="B29" s="10">
        <v>28</v>
      </c>
      <c r="C29" s="13">
        <v>912824</v>
      </c>
      <c r="D29" s="13">
        <v>912249</v>
      </c>
      <c r="E29" s="9">
        <v>1077.0999999999999</v>
      </c>
      <c r="F29" s="9">
        <v>188.6</v>
      </c>
      <c r="G29" s="11">
        <v>1.4624999999999999</v>
      </c>
      <c r="H29" s="13">
        <v>6405</v>
      </c>
      <c r="I29" s="13">
        <v>28266</v>
      </c>
      <c r="J29" s="10">
        <v>92</v>
      </c>
      <c r="K29" s="13">
        <v>27</v>
      </c>
      <c r="L29" s="17">
        <v>24.88</v>
      </c>
      <c r="M29" s="13">
        <v>0</v>
      </c>
    </row>
    <row r="30" spans="1:13" x14ac:dyDescent="0.25">
      <c r="A30" s="10">
        <v>29</v>
      </c>
      <c r="B30" s="10">
        <v>29</v>
      </c>
      <c r="C30" s="13">
        <v>911286</v>
      </c>
      <c r="D30" s="13">
        <v>910683</v>
      </c>
      <c r="E30" s="9">
        <v>1072</v>
      </c>
      <c r="F30" s="9">
        <v>183.1</v>
      </c>
      <c r="G30" s="11">
        <v>1.4616</v>
      </c>
      <c r="H30" s="13">
        <v>1898</v>
      </c>
      <c r="I30" s="13">
        <v>28311</v>
      </c>
      <c r="J30" s="10">
        <v>94</v>
      </c>
      <c r="K30" s="13">
        <v>42</v>
      </c>
      <c r="L30" s="17">
        <v>24.87</v>
      </c>
      <c r="M30" s="13">
        <v>0</v>
      </c>
    </row>
    <row r="31" spans="1:13" x14ac:dyDescent="0.25">
      <c r="A31" s="10">
        <v>30</v>
      </c>
      <c r="B31" s="10">
        <v>30</v>
      </c>
      <c r="C31" s="13">
        <v>911081</v>
      </c>
      <c r="D31" s="13">
        <v>910512</v>
      </c>
      <c r="E31" s="9">
        <v>1075</v>
      </c>
      <c r="F31" s="9">
        <v>185.9</v>
      </c>
      <c r="G31" s="11">
        <v>1.4626999999999999</v>
      </c>
      <c r="H31" s="13">
        <v>9977</v>
      </c>
      <c r="I31" s="13">
        <v>28739</v>
      </c>
      <c r="J31" s="10">
        <v>94</v>
      </c>
      <c r="K31" s="13">
        <v>31</v>
      </c>
      <c r="L31" s="17">
        <v>24.87</v>
      </c>
      <c r="M31" s="13">
        <v>0</v>
      </c>
    </row>
    <row r="32" spans="1:13" x14ac:dyDescent="0.25">
      <c r="A32" s="10">
        <v>31</v>
      </c>
      <c r="B32" s="10">
        <v>31</v>
      </c>
      <c r="C32" s="13">
        <v>908716</v>
      </c>
      <c r="D32" s="13">
        <v>908137</v>
      </c>
      <c r="E32" s="9">
        <v>1071</v>
      </c>
      <c r="F32" s="9">
        <v>181.7</v>
      </c>
      <c r="G32" s="11">
        <v>1.4637</v>
      </c>
      <c r="H32" s="13">
        <v>2542</v>
      </c>
      <c r="I32" s="13">
        <v>28060</v>
      </c>
      <c r="J32" s="10">
        <v>96</v>
      </c>
      <c r="K32" s="13">
        <v>43</v>
      </c>
      <c r="L32" s="17">
        <v>24.86</v>
      </c>
      <c r="M32" s="13">
        <v>0</v>
      </c>
    </row>
    <row r="33" spans="1:13" x14ac:dyDescent="0.25">
      <c r="A33" s="10">
        <v>32</v>
      </c>
      <c r="B33" s="10">
        <v>32</v>
      </c>
      <c r="C33" s="13">
        <v>910730</v>
      </c>
      <c r="D33" s="13">
        <v>910128</v>
      </c>
      <c r="E33" s="9">
        <v>1075.4000000000001</v>
      </c>
      <c r="F33" s="9">
        <v>185.4</v>
      </c>
      <c r="G33" s="11">
        <v>1.4641999999999999</v>
      </c>
      <c r="H33" s="13">
        <v>2097</v>
      </c>
      <c r="I33" s="13">
        <v>28386</v>
      </c>
      <c r="J33" s="10">
        <v>93</v>
      </c>
      <c r="K33" s="13">
        <v>41</v>
      </c>
      <c r="L33" s="17">
        <v>24.88</v>
      </c>
      <c r="M33" s="13">
        <v>0</v>
      </c>
    </row>
    <row r="34" spans="1:13" x14ac:dyDescent="0.25">
      <c r="A34" s="10">
        <v>33</v>
      </c>
      <c r="B34" s="10">
        <v>33</v>
      </c>
      <c r="C34" s="13">
        <v>909848</v>
      </c>
      <c r="D34" s="13">
        <v>909291</v>
      </c>
      <c r="E34" s="9">
        <v>1071.7</v>
      </c>
      <c r="F34" s="9">
        <v>182.2</v>
      </c>
      <c r="G34" s="11">
        <v>1.4634</v>
      </c>
      <c r="H34" s="13">
        <v>3239</v>
      </c>
      <c r="I34" s="13">
        <v>28174</v>
      </c>
      <c r="J34" s="10">
        <v>94</v>
      </c>
      <c r="K34" s="13">
        <v>37</v>
      </c>
      <c r="L34" s="17">
        <v>24.87</v>
      </c>
      <c r="M34" s="13">
        <v>0</v>
      </c>
    </row>
    <row r="35" spans="1:13" x14ac:dyDescent="0.25">
      <c r="A35" s="10">
        <v>34</v>
      </c>
      <c r="B35" s="10">
        <v>34</v>
      </c>
      <c r="C35" s="13">
        <v>911163</v>
      </c>
      <c r="D35" s="13">
        <v>910550</v>
      </c>
      <c r="E35" s="9">
        <v>1079.3</v>
      </c>
      <c r="F35" s="9">
        <v>189.9</v>
      </c>
      <c r="G35" s="11">
        <v>1.4641999999999999</v>
      </c>
      <c r="H35" s="13">
        <v>16642</v>
      </c>
      <c r="I35" s="13">
        <v>28468</v>
      </c>
      <c r="J35" s="10">
        <v>95</v>
      </c>
      <c r="K35" s="13">
        <v>34</v>
      </c>
      <c r="L35" s="17">
        <v>24.88</v>
      </c>
      <c r="M35" s="13">
        <v>0</v>
      </c>
    </row>
    <row r="36" spans="1:13" x14ac:dyDescent="0.25">
      <c r="A36" s="10">
        <v>35</v>
      </c>
      <c r="B36" s="10">
        <v>35</v>
      </c>
      <c r="C36" s="13">
        <v>911337</v>
      </c>
      <c r="D36" s="13">
        <v>910728</v>
      </c>
      <c r="E36" s="9">
        <v>1071.9000000000001</v>
      </c>
      <c r="F36" s="9">
        <v>182.5</v>
      </c>
      <c r="G36" s="11">
        <v>1.4644999999999999</v>
      </c>
      <c r="H36" s="13">
        <v>1446</v>
      </c>
      <c r="I36" s="13">
        <v>28394</v>
      </c>
      <c r="J36" s="10">
        <v>93</v>
      </c>
      <c r="K36" s="13">
        <v>41</v>
      </c>
      <c r="L36" s="17">
        <v>24.87</v>
      </c>
      <c r="M36" s="13">
        <v>0</v>
      </c>
    </row>
    <row r="37" spans="1:13" x14ac:dyDescent="0.25">
      <c r="A37" s="10">
        <v>36</v>
      </c>
      <c r="B37" s="10">
        <v>36</v>
      </c>
      <c r="C37" s="13">
        <v>911926</v>
      </c>
      <c r="D37" s="13">
        <v>911232</v>
      </c>
      <c r="E37" s="9">
        <v>1074.0999999999999</v>
      </c>
      <c r="F37" s="9">
        <v>185.2</v>
      </c>
      <c r="G37" s="11">
        <v>1.4638</v>
      </c>
      <c r="H37" s="13">
        <v>1693</v>
      </c>
      <c r="I37" s="13">
        <v>28684</v>
      </c>
      <c r="J37" s="10">
        <v>95</v>
      </c>
      <c r="K37" s="13">
        <v>43</v>
      </c>
      <c r="L37" s="17">
        <v>24.88</v>
      </c>
      <c r="M37" s="13">
        <v>0</v>
      </c>
    </row>
    <row r="38" spans="1:13" x14ac:dyDescent="0.25">
      <c r="A38" s="10">
        <v>37</v>
      </c>
      <c r="B38" s="10">
        <v>37</v>
      </c>
      <c r="C38" s="13">
        <v>911062</v>
      </c>
      <c r="D38" s="13">
        <v>910446</v>
      </c>
      <c r="E38" s="9">
        <v>1076.7</v>
      </c>
      <c r="F38" s="9">
        <v>187.6</v>
      </c>
      <c r="G38" s="11">
        <v>1.4625999999999999</v>
      </c>
      <c r="H38" s="13">
        <v>4580</v>
      </c>
      <c r="I38" s="13">
        <v>28298</v>
      </c>
      <c r="J38" s="10">
        <v>93</v>
      </c>
      <c r="K38" s="13">
        <v>30</v>
      </c>
      <c r="L38" s="17">
        <v>24.88</v>
      </c>
      <c r="M38" s="13">
        <v>0</v>
      </c>
    </row>
    <row r="39" spans="1:13" x14ac:dyDescent="0.25">
      <c r="A39" s="10">
        <v>38</v>
      </c>
      <c r="B39" s="10">
        <v>38</v>
      </c>
      <c r="C39" s="13">
        <v>911591</v>
      </c>
      <c r="D39" s="13">
        <v>910948</v>
      </c>
      <c r="E39" s="9">
        <v>1074.3</v>
      </c>
      <c r="F39" s="9">
        <v>184.7</v>
      </c>
      <c r="G39" s="11">
        <v>1.4637</v>
      </c>
      <c r="H39" s="13">
        <v>2835</v>
      </c>
      <c r="I39" s="13">
        <v>28675</v>
      </c>
      <c r="J39" s="10">
        <v>93</v>
      </c>
      <c r="K39" s="13">
        <v>46</v>
      </c>
      <c r="L39" s="17">
        <v>24.87</v>
      </c>
      <c r="M39" s="13">
        <v>0</v>
      </c>
    </row>
    <row r="40" spans="1:13" x14ac:dyDescent="0.25">
      <c r="A40" s="10">
        <v>39</v>
      </c>
      <c r="B40" s="10">
        <v>39</v>
      </c>
      <c r="C40" s="13">
        <v>910213</v>
      </c>
      <c r="D40" s="13">
        <v>909637</v>
      </c>
      <c r="E40" s="9">
        <v>1074.9000000000001</v>
      </c>
      <c r="F40" s="9">
        <v>186.3</v>
      </c>
      <c r="G40" s="11">
        <v>1.4625999999999999</v>
      </c>
      <c r="H40" s="13">
        <v>5751</v>
      </c>
      <c r="I40" s="13">
        <v>28255</v>
      </c>
      <c r="J40" s="10">
        <v>94</v>
      </c>
      <c r="K40" s="13">
        <v>32</v>
      </c>
      <c r="L40" s="17">
        <v>24.88</v>
      </c>
      <c r="M40" s="13">
        <v>0</v>
      </c>
    </row>
    <row r="41" spans="1:13" x14ac:dyDescent="0.25">
      <c r="A41" s="10">
        <v>40</v>
      </c>
      <c r="B41" s="10">
        <v>40</v>
      </c>
      <c r="C41" s="13">
        <v>912636</v>
      </c>
      <c r="D41" s="13">
        <v>912062</v>
      </c>
      <c r="E41" s="9">
        <v>1075.5</v>
      </c>
      <c r="F41" s="9">
        <v>186.5</v>
      </c>
      <c r="G41" s="11">
        <v>1.4634</v>
      </c>
      <c r="H41" s="13">
        <v>3368</v>
      </c>
      <c r="I41" s="13">
        <v>28374</v>
      </c>
      <c r="J41" s="10">
        <v>91</v>
      </c>
      <c r="K41" s="13">
        <v>31</v>
      </c>
      <c r="L41" s="17">
        <v>24.88</v>
      </c>
      <c r="M41" s="13">
        <v>0</v>
      </c>
    </row>
    <row r="42" spans="1:13" x14ac:dyDescent="0.25">
      <c r="A42" s="10">
        <v>41</v>
      </c>
      <c r="B42" s="10">
        <v>41</v>
      </c>
      <c r="C42" s="13">
        <v>911764</v>
      </c>
      <c r="D42" s="13">
        <v>911207</v>
      </c>
      <c r="E42" s="9">
        <v>1073</v>
      </c>
      <c r="F42" s="9">
        <v>183.2</v>
      </c>
      <c r="G42" s="11">
        <v>1.4636</v>
      </c>
      <c r="H42" s="13">
        <v>2817</v>
      </c>
      <c r="I42" s="13">
        <v>28511</v>
      </c>
      <c r="J42" s="10">
        <v>95</v>
      </c>
      <c r="K42" s="13">
        <v>50</v>
      </c>
      <c r="L42" s="17">
        <v>24.87</v>
      </c>
      <c r="M42" s="13">
        <v>0</v>
      </c>
    </row>
    <row r="43" spans="1:13" x14ac:dyDescent="0.25">
      <c r="A43" s="10">
        <v>42</v>
      </c>
      <c r="B43" s="10">
        <v>42</v>
      </c>
      <c r="C43" s="13">
        <v>909940</v>
      </c>
      <c r="D43" s="13">
        <v>909382</v>
      </c>
      <c r="E43" s="9">
        <v>1076.5999999999999</v>
      </c>
      <c r="F43" s="9">
        <v>188</v>
      </c>
      <c r="G43" s="11">
        <v>1.4638</v>
      </c>
      <c r="H43" s="13">
        <v>6046</v>
      </c>
      <c r="I43" s="13">
        <v>29321</v>
      </c>
      <c r="J43" s="10">
        <v>94</v>
      </c>
      <c r="K43" s="13">
        <v>45</v>
      </c>
      <c r="L43" s="17">
        <v>24.88</v>
      </c>
      <c r="M43" s="13">
        <v>0</v>
      </c>
    </row>
    <row r="44" spans="1:13" x14ac:dyDescent="0.25">
      <c r="A44" s="10">
        <v>43</v>
      </c>
      <c r="B44" s="10">
        <v>43</v>
      </c>
      <c r="C44" s="13">
        <v>910922</v>
      </c>
      <c r="D44" s="13">
        <v>910318</v>
      </c>
      <c r="E44" s="9">
        <v>1071.9000000000001</v>
      </c>
      <c r="F44" s="9">
        <v>183.8</v>
      </c>
      <c r="G44" s="11">
        <v>1.4622999999999999</v>
      </c>
      <c r="H44" s="13">
        <v>2150</v>
      </c>
      <c r="I44" s="13">
        <v>28148</v>
      </c>
      <c r="J44" s="10">
        <v>93</v>
      </c>
      <c r="K44" s="13">
        <v>39</v>
      </c>
      <c r="L44" s="17">
        <v>24.88</v>
      </c>
      <c r="M44" s="13">
        <v>0</v>
      </c>
    </row>
    <row r="45" spans="1:13" x14ac:dyDescent="0.25">
      <c r="A45" s="10">
        <v>44</v>
      </c>
      <c r="B45" s="10">
        <v>44</v>
      </c>
      <c r="C45" s="13">
        <v>911854</v>
      </c>
      <c r="D45" s="13">
        <v>911291</v>
      </c>
      <c r="E45" s="9">
        <v>1075.5</v>
      </c>
      <c r="F45" s="9">
        <v>186.4</v>
      </c>
      <c r="G45" s="11">
        <v>1.4631000000000001</v>
      </c>
      <c r="H45" s="13">
        <v>2258</v>
      </c>
      <c r="I45" s="13">
        <v>28071</v>
      </c>
      <c r="J45" s="10">
        <v>91</v>
      </c>
      <c r="K45" s="13">
        <v>34</v>
      </c>
      <c r="L45" s="17">
        <v>24.88</v>
      </c>
      <c r="M45" s="13">
        <v>0</v>
      </c>
    </row>
    <row r="46" spans="1:13" x14ac:dyDescent="0.25">
      <c r="A46" s="10">
        <v>45</v>
      </c>
      <c r="B46" s="10">
        <v>45</v>
      </c>
      <c r="C46" s="13">
        <v>909643</v>
      </c>
      <c r="D46" s="13">
        <v>909034</v>
      </c>
      <c r="E46" s="9">
        <v>1075.5999999999999</v>
      </c>
      <c r="F46" s="9">
        <v>185.9</v>
      </c>
      <c r="G46" s="11">
        <v>1.4643999999999999</v>
      </c>
      <c r="H46" s="13">
        <v>5268</v>
      </c>
      <c r="I46" s="13">
        <v>28333</v>
      </c>
      <c r="J46" s="10">
        <v>92</v>
      </c>
      <c r="K46" s="13">
        <v>33</v>
      </c>
      <c r="L46" s="17">
        <v>24.88</v>
      </c>
      <c r="M46" s="13">
        <v>0</v>
      </c>
    </row>
    <row r="47" spans="1:13" x14ac:dyDescent="0.25">
      <c r="A47" s="10">
        <v>46</v>
      </c>
      <c r="B47" s="10">
        <v>46</v>
      </c>
      <c r="C47" s="13">
        <v>911425</v>
      </c>
      <c r="D47" s="13">
        <v>910794</v>
      </c>
      <c r="E47" s="9">
        <v>1072.8</v>
      </c>
      <c r="F47" s="9">
        <v>184</v>
      </c>
      <c r="G47" s="11">
        <v>1.4636</v>
      </c>
      <c r="H47" s="13">
        <v>1298</v>
      </c>
      <c r="I47" s="13">
        <v>28251</v>
      </c>
      <c r="J47" s="10">
        <v>94</v>
      </c>
      <c r="K47" s="13">
        <v>32</v>
      </c>
      <c r="L47" s="17">
        <v>24.88</v>
      </c>
      <c r="M47" s="13">
        <v>0</v>
      </c>
    </row>
    <row r="48" spans="1:13" x14ac:dyDescent="0.25">
      <c r="A48" s="10">
        <v>47</v>
      </c>
      <c r="B48" s="10">
        <v>47</v>
      </c>
      <c r="C48" s="13">
        <v>911158</v>
      </c>
      <c r="D48" s="13">
        <v>910497</v>
      </c>
      <c r="E48" s="9">
        <v>1070</v>
      </c>
      <c r="F48" s="9">
        <v>181.6</v>
      </c>
      <c r="G48" s="11">
        <v>1.4632000000000001</v>
      </c>
      <c r="H48" s="13">
        <v>1877</v>
      </c>
      <c r="I48" s="13">
        <v>28357</v>
      </c>
      <c r="J48" s="10">
        <v>93</v>
      </c>
      <c r="K48" s="13">
        <v>30</v>
      </c>
      <c r="L48" s="17">
        <v>24.87</v>
      </c>
      <c r="M48" s="13">
        <v>0</v>
      </c>
    </row>
    <row r="49" spans="1:13" x14ac:dyDescent="0.25">
      <c r="A49" s="10">
        <v>48</v>
      </c>
      <c r="B49" s="10">
        <v>48</v>
      </c>
      <c r="C49" s="13">
        <v>911900</v>
      </c>
      <c r="D49" s="13">
        <v>911247</v>
      </c>
      <c r="E49" s="9">
        <v>1073.3</v>
      </c>
      <c r="F49" s="9">
        <v>185.1</v>
      </c>
      <c r="G49" s="11">
        <v>1.4615</v>
      </c>
      <c r="H49" s="13">
        <v>4169</v>
      </c>
      <c r="I49" s="13">
        <v>28505</v>
      </c>
      <c r="J49" s="10">
        <v>94</v>
      </c>
      <c r="K49" s="13">
        <v>26</v>
      </c>
      <c r="L49" s="17">
        <v>24.87</v>
      </c>
      <c r="M49" s="13">
        <v>0</v>
      </c>
    </row>
    <row r="50" spans="1:13" x14ac:dyDescent="0.25">
      <c r="A50" s="10">
        <v>49</v>
      </c>
      <c r="B50" s="10">
        <v>49</v>
      </c>
      <c r="C50" s="13">
        <v>910710</v>
      </c>
      <c r="D50" s="13">
        <v>910105</v>
      </c>
      <c r="E50" s="9">
        <v>1079</v>
      </c>
      <c r="F50" s="9">
        <v>190</v>
      </c>
      <c r="G50" s="11">
        <v>1.4623999999999999</v>
      </c>
      <c r="H50" s="13">
        <v>7268</v>
      </c>
      <c r="I50" s="13">
        <v>28627</v>
      </c>
      <c r="J50" s="10">
        <v>92</v>
      </c>
      <c r="K50" s="13">
        <v>38</v>
      </c>
      <c r="L50" s="17">
        <v>24.88</v>
      </c>
      <c r="M50" s="13">
        <v>0</v>
      </c>
    </row>
    <row r="51" spans="1:13" x14ac:dyDescent="0.25">
      <c r="A51" s="10">
        <v>50</v>
      </c>
      <c r="B51" s="10">
        <v>50</v>
      </c>
      <c r="C51" s="13">
        <v>911822</v>
      </c>
      <c r="D51" s="13">
        <v>911215</v>
      </c>
      <c r="E51" s="9">
        <v>1074.5999999999999</v>
      </c>
      <c r="F51" s="9">
        <v>185.6</v>
      </c>
      <c r="G51" s="11">
        <v>1.4645999999999999</v>
      </c>
      <c r="H51" s="13">
        <v>5626</v>
      </c>
      <c r="I51" s="13">
        <v>28898</v>
      </c>
      <c r="J51" s="10">
        <v>93</v>
      </c>
      <c r="K51" s="13">
        <v>58</v>
      </c>
      <c r="L51" s="17">
        <v>24.88</v>
      </c>
      <c r="M51" s="13">
        <v>0</v>
      </c>
    </row>
    <row r="52" spans="1:13" x14ac:dyDescent="0.25">
      <c r="A52" s="10">
        <v>51</v>
      </c>
      <c r="B52" s="10">
        <v>51</v>
      </c>
      <c r="C52" s="13">
        <v>912088</v>
      </c>
      <c r="D52" s="13">
        <v>911469</v>
      </c>
      <c r="E52" s="9">
        <v>1073.5</v>
      </c>
      <c r="F52" s="9">
        <v>185.2</v>
      </c>
      <c r="G52" s="11">
        <v>1.4618</v>
      </c>
      <c r="H52" s="13">
        <v>2804</v>
      </c>
      <c r="I52" s="13">
        <v>28361</v>
      </c>
      <c r="J52" s="10">
        <v>92</v>
      </c>
      <c r="K52" s="13">
        <v>22</v>
      </c>
      <c r="L52" s="17">
        <v>24.88</v>
      </c>
      <c r="M52" s="13">
        <v>0</v>
      </c>
    </row>
    <row r="53" spans="1:13" x14ac:dyDescent="0.25">
      <c r="A53" s="10">
        <v>52</v>
      </c>
      <c r="B53" s="10">
        <v>52</v>
      </c>
      <c r="C53" s="13">
        <v>910512</v>
      </c>
      <c r="D53" s="13">
        <v>909972</v>
      </c>
      <c r="E53" s="9">
        <v>1074.2</v>
      </c>
      <c r="F53" s="9">
        <v>185.2</v>
      </c>
      <c r="G53" s="11">
        <v>1.4631000000000001</v>
      </c>
      <c r="H53" s="13">
        <v>1733</v>
      </c>
      <c r="I53" s="13">
        <v>28995</v>
      </c>
      <c r="J53" s="10">
        <v>91</v>
      </c>
      <c r="K53" s="13">
        <v>27</v>
      </c>
      <c r="L53" s="17">
        <v>24.88</v>
      </c>
      <c r="M53" s="13">
        <v>0</v>
      </c>
    </row>
    <row r="54" spans="1:13" x14ac:dyDescent="0.25">
      <c r="A54" s="10">
        <v>53</v>
      </c>
      <c r="B54" s="10">
        <v>53</v>
      </c>
      <c r="C54" s="13">
        <v>910340</v>
      </c>
      <c r="D54" s="13">
        <v>909745</v>
      </c>
      <c r="E54" s="9">
        <v>1072.4000000000001</v>
      </c>
      <c r="F54" s="9">
        <v>183.6</v>
      </c>
      <c r="G54" s="11">
        <v>1.464</v>
      </c>
      <c r="H54" s="13">
        <v>5084</v>
      </c>
      <c r="I54" s="13">
        <v>28692</v>
      </c>
      <c r="J54" s="10">
        <v>93</v>
      </c>
      <c r="K54" s="13">
        <v>39</v>
      </c>
      <c r="L54" s="17">
        <v>24.87</v>
      </c>
      <c r="M54" s="13">
        <v>0</v>
      </c>
    </row>
    <row r="55" spans="1:13" x14ac:dyDescent="0.25">
      <c r="A55" s="10">
        <v>54</v>
      </c>
      <c r="B55" s="10">
        <v>54</v>
      </c>
      <c r="C55" s="13">
        <v>911766</v>
      </c>
      <c r="D55" s="13">
        <v>911167</v>
      </c>
      <c r="E55" s="9">
        <v>1073.8</v>
      </c>
      <c r="F55" s="9">
        <v>184.5</v>
      </c>
      <c r="G55" s="11">
        <v>1.4629000000000001</v>
      </c>
      <c r="H55" s="13">
        <v>3142</v>
      </c>
      <c r="I55" s="13">
        <v>28330</v>
      </c>
      <c r="J55" s="10">
        <v>94</v>
      </c>
      <c r="K55" s="13">
        <v>69</v>
      </c>
      <c r="L55" s="17">
        <v>24.87</v>
      </c>
      <c r="M55" s="13">
        <v>0</v>
      </c>
    </row>
    <row r="56" spans="1:13" x14ac:dyDescent="0.25">
      <c r="A56" s="10">
        <v>55</v>
      </c>
      <c r="B56" s="10">
        <v>55</v>
      </c>
      <c r="C56" s="13">
        <v>910157</v>
      </c>
      <c r="D56" s="13">
        <v>909572</v>
      </c>
      <c r="E56" s="9">
        <v>1074.5999999999999</v>
      </c>
      <c r="F56" s="9">
        <v>186</v>
      </c>
      <c r="G56" s="11">
        <v>1.4629000000000001</v>
      </c>
      <c r="H56" s="13">
        <v>3862</v>
      </c>
      <c r="I56" s="13">
        <v>28043</v>
      </c>
      <c r="J56" s="10">
        <v>93</v>
      </c>
      <c r="K56" s="13">
        <v>35</v>
      </c>
      <c r="L56" s="17">
        <v>24.88</v>
      </c>
      <c r="M56" s="13">
        <v>0</v>
      </c>
    </row>
    <row r="57" spans="1:13" x14ac:dyDescent="0.25">
      <c r="A57" s="10">
        <v>56</v>
      </c>
      <c r="B57" s="10">
        <v>56</v>
      </c>
      <c r="C57" s="13">
        <v>912618</v>
      </c>
      <c r="D57" s="13">
        <v>911890</v>
      </c>
      <c r="E57" s="9">
        <v>1075.3</v>
      </c>
      <c r="F57" s="9">
        <v>185.9</v>
      </c>
      <c r="G57" s="11">
        <v>1.4628000000000001</v>
      </c>
      <c r="H57" s="13">
        <v>3329</v>
      </c>
      <c r="I57" s="13">
        <v>28652</v>
      </c>
      <c r="J57" s="10">
        <v>93</v>
      </c>
      <c r="K57" s="13">
        <v>47</v>
      </c>
      <c r="L57" s="17">
        <v>24.88</v>
      </c>
      <c r="M57" s="13">
        <v>0</v>
      </c>
    </row>
    <row r="58" spans="1:13" x14ac:dyDescent="0.25">
      <c r="A58" s="10">
        <v>57</v>
      </c>
      <c r="B58" s="10">
        <v>57</v>
      </c>
      <c r="C58" s="13">
        <v>910645</v>
      </c>
      <c r="D58" s="13">
        <v>910024</v>
      </c>
      <c r="E58" s="9">
        <v>1076.0999999999999</v>
      </c>
      <c r="F58" s="9">
        <v>186.8</v>
      </c>
      <c r="G58" s="11">
        <v>1.4631000000000001</v>
      </c>
      <c r="H58" s="13">
        <v>4648</v>
      </c>
      <c r="I58" s="13">
        <v>28318</v>
      </c>
      <c r="J58" s="10">
        <v>94</v>
      </c>
      <c r="K58" s="13">
        <v>55</v>
      </c>
      <c r="L58" s="17">
        <v>24.88</v>
      </c>
      <c r="M58" s="13">
        <v>0</v>
      </c>
    </row>
    <row r="59" spans="1:13" x14ac:dyDescent="0.25">
      <c r="A59" s="10">
        <v>58</v>
      </c>
      <c r="B59" s="10">
        <v>58</v>
      </c>
      <c r="C59" s="13">
        <v>912513</v>
      </c>
      <c r="D59" s="13">
        <v>911949</v>
      </c>
      <c r="E59" s="9">
        <v>1075.4000000000001</v>
      </c>
      <c r="F59" s="9">
        <v>186.2</v>
      </c>
      <c r="G59" s="11">
        <v>1.4636</v>
      </c>
      <c r="H59" s="13">
        <v>3559</v>
      </c>
      <c r="I59" s="13">
        <v>28441</v>
      </c>
      <c r="J59" s="10">
        <v>94</v>
      </c>
      <c r="K59" s="13">
        <v>34</v>
      </c>
      <c r="L59" s="17">
        <v>24.88</v>
      </c>
      <c r="M59" s="13">
        <v>0</v>
      </c>
    </row>
    <row r="60" spans="1:13" x14ac:dyDescent="0.25">
      <c r="A60" s="10">
        <v>59</v>
      </c>
      <c r="B60" s="10">
        <v>59</v>
      </c>
      <c r="C60" s="13">
        <v>910509</v>
      </c>
      <c r="D60" s="13">
        <v>909922</v>
      </c>
      <c r="E60" s="9">
        <v>1074.5</v>
      </c>
      <c r="F60" s="9">
        <v>185.1</v>
      </c>
      <c r="G60" s="11">
        <v>1.4628000000000001</v>
      </c>
      <c r="H60" s="13">
        <v>2208</v>
      </c>
      <c r="I60" s="13">
        <v>28049</v>
      </c>
      <c r="J60" s="10">
        <v>92</v>
      </c>
      <c r="K60" s="13">
        <v>57</v>
      </c>
      <c r="L60" s="17">
        <v>24.87</v>
      </c>
      <c r="M60" s="13">
        <v>0</v>
      </c>
    </row>
    <row r="61" spans="1:13" x14ac:dyDescent="0.25">
      <c r="A61" s="10">
        <v>60</v>
      </c>
      <c r="B61" s="10">
        <v>60</v>
      </c>
      <c r="C61" s="13">
        <v>910010</v>
      </c>
      <c r="D61" s="13">
        <v>909393</v>
      </c>
      <c r="E61" s="9">
        <v>1072.4000000000001</v>
      </c>
      <c r="F61" s="9">
        <v>183.6</v>
      </c>
      <c r="G61" s="11">
        <v>1.4631000000000001</v>
      </c>
      <c r="H61" s="13">
        <v>3975</v>
      </c>
      <c r="I61" s="13">
        <v>28326</v>
      </c>
      <c r="J61" s="10">
        <v>92</v>
      </c>
      <c r="K61" s="13">
        <v>31</v>
      </c>
      <c r="L61" s="17">
        <v>24.87</v>
      </c>
      <c r="M61" s="13">
        <v>0</v>
      </c>
    </row>
    <row r="62" spans="1:13" x14ac:dyDescent="0.25">
      <c r="A62" s="10">
        <v>61</v>
      </c>
      <c r="B62" s="10">
        <v>61</v>
      </c>
      <c r="C62" s="13">
        <v>910940</v>
      </c>
      <c r="D62" s="13">
        <v>910330</v>
      </c>
      <c r="E62" s="9">
        <v>1076.2</v>
      </c>
      <c r="F62" s="9">
        <v>186.7</v>
      </c>
      <c r="G62" s="11">
        <v>1.4631000000000001</v>
      </c>
      <c r="H62" s="13">
        <v>9557</v>
      </c>
      <c r="I62" s="13">
        <v>28310</v>
      </c>
      <c r="J62" s="10">
        <v>94</v>
      </c>
      <c r="K62" s="13">
        <v>44</v>
      </c>
      <c r="L62" s="17">
        <v>24.87</v>
      </c>
      <c r="M62" s="13">
        <v>0</v>
      </c>
    </row>
    <row r="63" spans="1:13" x14ac:dyDescent="0.25">
      <c r="A63" s="10">
        <v>62</v>
      </c>
      <c r="B63" s="10">
        <v>62</v>
      </c>
      <c r="C63" s="13">
        <v>911166</v>
      </c>
      <c r="D63" s="13">
        <v>910587</v>
      </c>
      <c r="E63" s="9">
        <v>1071.8</v>
      </c>
      <c r="F63" s="9">
        <v>182.9</v>
      </c>
      <c r="G63" s="11">
        <v>1.4621999999999999</v>
      </c>
      <c r="H63" s="13">
        <v>3285</v>
      </c>
      <c r="I63" s="13">
        <v>28874</v>
      </c>
      <c r="J63" s="10">
        <v>92</v>
      </c>
      <c r="K63" s="13">
        <v>55</v>
      </c>
      <c r="L63" s="17">
        <v>24.86</v>
      </c>
      <c r="M63" s="13">
        <v>0</v>
      </c>
    </row>
    <row r="64" spans="1:13" x14ac:dyDescent="0.25">
      <c r="A64" s="10">
        <v>63</v>
      </c>
      <c r="B64" s="10">
        <v>63</v>
      </c>
      <c r="C64" s="13">
        <v>909950</v>
      </c>
      <c r="D64" s="13">
        <v>909335</v>
      </c>
      <c r="E64" s="9">
        <v>1076</v>
      </c>
      <c r="F64" s="9">
        <v>186</v>
      </c>
      <c r="G64" s="11">
        <v>1.4639</v>
      </c>
      <c r="H64" s="13">
        <v>1896</v>
      </c>
      <c r="I64" s="13">
        <v>28708</v>
      </c>
      <c r="J64" s="10">
        <v>92</v>
      </c>
      <c r="K64" s="13">
        <v>48</v>
      </c>
      <c r="L64" s="17">
        <v>24.88</v>
      </c>
      <c r="M64" s="13">
        <v>0</v>
      </c>
    </row>
    <row r="65" spans="1:13" x14ac:dyDescent="0.25">
      <c r="A65" s="10">
        <v>64</v>
      </c>
      <c r="B65" s="10">
        <v>64</v>
      </c>
      <c r="C65" s="13">
        <v>911823</v>
      </c>
      <c r="D65" s="13">
        <v>911194</v>
      </c>
      <c r="E65" s="9">
        <v>1075.8</v>
      </c>
      <c r="F65" s="9">
        <v>187.2</v>
      </c>
      <c r="G65" s="11">
        <v>1.4634</v>
      </c>
      <c r="H65" s="13">
        <v>2688</v>
      </c>
      <c r="I65" s="13">
        <v>28426</v>
      </c>
      <c r="J65" s="10">
        <v>92</v>
      </c>
      <c r="K65" s="13">
        <v>34</v>
      </c>
      <c r="L65" s="17">
        <v>24.88</v>
      </c>
      <c r="M65" s="13">
        <v>0</v>
      </c>
    </row>
    <row r="66" spans="1:13" x14ac:dyDescent="0.25">
      <c r="A66" s="10">
        <v>65</v>
      </c>
      <c r="B66" s="10">
        <v>65</v>
      </c>
      <c r="C66" s="13">
        <v>911051</v>
      </c>
      <c r="D66" s="13">
        <v>910446</v>
      </c>
      <c r="E66" s="9">
        <v>1072.5</v>
      </c>
      <c r="F66" s="9">
        <v>182.7</v>
      </c>
      <c r="G66" s="11">
        <v>1.4638</v>
      </c>
      <c r="H66" s="13">
        <v>1113</v>
      </c>
      <c r="I66" s="13">
        <v>28010</v>
      </c>
      <c r="J66" s="10">
        <v>96</v>
      </c>
      <c r="K66" s="13">
        <v>55</v>
      </c>
      <c r="L66" s="17">
        <v>24.87</v>
      </c>
      <c r="M66" s="13">
        <v>0</v>
      </c>
    </row>
    <row r="67" spans="1:13" x14ac:dyDescent="0.25">
      <c r="A67" s="10">
        <v>66</v>
      </c>
      <c r="B67" s="10">
        <v>66</v>
      </c>
      <c r="C67" s="13">
        <v>911268</v>
      </c>
      <c r="D67" s="13">
        <v>910604</v>
      </c>
      <c r="E67" s="9">
        <v>1076.0999999999999</v>
      </c>
      <c r="F67" s="9">
        <v>187.5</v>
      </c>
      <c r="G67" s="11">
        <v>1.4624999999999999</v>
      </c>
      <c r="H67" s="13">
        <v>5599</v>
      </c>
      <c r="I67" s="13">
        <v>28692</v>
      </c>
      <c r="J67" s="10">
        <v>92</v>
      </c>
      <c r="K67" s="13">
        <v>37</v>
      </c>
      <c r="L67" s="17">
        <v>24.88</v>
      </c>
      <c r="M67" s="13">
        <v>0</v>
      </c>
    </row>
    <row r="68" spans="1:13" x14ac:dyDescent="0.25">
      <c r="A68" s="10">
        <v>67</v>
      </c>
      <c r="B68" s="10">
        <v>67</v>
      </c>
      <c r="C68" s="13">
        <v>911688</v>
      </c>
      <c r="D68" s="13">
        <v>911123</v>
      </c>
      <c r="E68" s="9">
        <v>1072.9000000000001</v>
      </c>
      <c r="F68" s="9">
        <v>184.2</v>
      </c>
      <c r="G68" s="11">
        <v>1.4622999999999999</v>
      </c>
      <c r="H68" s="13">
        <v>3067</v>
      </c>
      <c r="I68" s="13">
        <v>28278</v>
      </c>
      <c r="J68" s="10">
        <v>96</v>
      </c>
      <c r="K68" s="13">
        <v>52</v>
      </c>
      <c r="L68" s="17">
        <v>24.87</v>
      </c>
      <c r="M68" s="13">
        <v>0</v>
      </c>
    </row>
    <row r="69" spans="1:13" x14ac:dyDescent="0.25">
      <c r="A69" s="10">
        <v>68</v>
      </c>
      <c r="B69" s="10">
        <v>68</v>
      </c>
      <c r="C69" s="13">
        <v>910301</v>
      </c>
      <c r="D69" s="13">
        <v>909723</v>
      </c>
      <c r="E69" s="9">
        <v>1072.5999999999999</v>
      </c>
      <c r="F69" s="9">
        <v>184.5</v>
      </c>
      <c r="G69" s="11">
        <v>1.4629000000000001</v>
      </c>
      <c r="H69" s="13">
        <v>2661</v>
      </c>
      <c r="I69" s="13">
        <v>28191</v>
      </c>
      <c r="J69" s="10">
        <v>93</v>
      </c>
      <c r="K69" s="13">
        <v>46</v>
      </c>
      <c r="L69" s="17">
        <v>24.88</v>
      </c>
      <c r="M69" s="13">
        <v>0</v>
      </c>
    </row>
    <row r="70" spans="1:13" x14ac:dyDescent="0.25">
      <c r="A70" s="10">
        <v>69</v>
      </c>
      <c r="B70" s="10">
        <v>69</v>
      </c>
      <c r="C70" s="13">
        <v>910991</v>
      </c>
      <c r="D70" s="13">
        <v>910402</v>
      </c>
      <c r="E70" s="9">
        <v>1075.5</v>
      </c>
      <c r="F70" s="9">
        <v>186.6</v>
      </c>
      <c r="G70" s="11">
        <v>1.4623999999999999</v>
      </c>
      <c r="H70" s="13">
        <v>4498</v>
      </c>
      <c r="I70" s="13">
        <v>28246</v>
      </c>
      <c r="J70" s="10">
        <v>93</v>
      </c>
      <c r="K70" s="13">
        <v>35</v>
      </c>
      <c r="L70" s="17">
        <v>24.88</v>
      </c>
      <c r="M70" s="13">
        <v>0</v>
      </c>
    </row>
    <row r="71" spans="1:13" x14ac:dyDescent="0.25">
      <c r="A71" s="10">
        <v>70</v>
      </c>
      <c r="B71" s="10">
        <v>70</v>
      </c>
      <c r="C71" s="13">
        <v>910589</v>
      </c>
      <c r="D71" s="13">
        <v>909981</v>
      </c>
      <c r="E71" s="9">
        <v>1075.9000000000001</v>
      </c>
      <c r="F71" s="9">
        <v>186.5</v>
      </c>
      <c r="G71" s="11">
        <v>1.4634</v>
      </c>
      <c r="H71" s="13">
        <v>4269</v>
      </c>
      <c r="I71" s="13">
        <v>28470</v>
      </c>
      <c r="J71" s="10">
        <v>95</v>
      </c>
      <c r="K71" s="13">
        <v>28</v>
      </c>
      <c r="L71" s="17">
        <v>24.88</v>
      </c>
      <c r="M71" s="13">
        <v>0</v>
      </c>
    </row>
    <row r="72" spans="1:13" x14ac:dyDescent="0.25">
      <c r="A72" s="10">
        <v>71</v>
      </c>
      <c r="B72" s="10">
        <v>71</v>
      </c>
      <c r="C72" s="13">
        <v>910962</v>
      </c>
      <c r="D72" s="13">
        <v>910354</v>
      </c>
      <c r="E72" s="9">
        <v>1075.7</v>
      </c>
      <c r="F72" s="9">
        <v>186.2</v>
      </c>
      <c r="G72" s="11">
        <v>1.4631000000000001</v>
      </c>
      <c r="H72" s="13">
        <v>4461</v>
      </c>
      <c r="I72" s="13">
        <v>28471</v>
      </c>
      <c r="J72" s="10">
        <v>93</v>
      </c>
      <c r="K72" s="13">
        <v>45</v>
      </c>
      <c r="L72" s="17">
        <v>24.88</v>
      </c>
      <c r="M72" s="13">
        <v>0</v>
      </c>
    </row>
    <row r="73" spans="1:13" x14ac:dyDescent="0.25">
      <c r="A73" s="10">
        <v>72</v>
      </c>
      <c r="B73" s="10">
        <v>72</v>
      </c>
      <c r="C73" s="13">
        <v>908742</v>
      </c>
      <c r="D73" s="13">
        <v>908137</v>
      </c>
      <c r="E73" s="9">
        <v>1071.4000000000001</v>
      </c>
      <c r="F73" s="9">
        <v>182.2</v>
      </c>
      <c r="G73" s="11">
        <v>1.4625999999999999</v>
      </c>
      <c r="H73" s="13">
        <v>1124</v>
      </c>
      <c r="I73" s="13">
        <v>27938</v>
      </c>
      <c r="J73" s="10">
        <v>94</v>
      </c>
      <c r="K73" s="13">
        <v>48</v>
      </c>
      <c r="L73" s="17">
        <v>24.87</v>
      </c>
      <c r="M73" s="13">
        <v>0</v>
      </c>
    </row>
    <row r="74" spans="1:13" x14ac:dyDescent="0.25">
      <c r="A74" s="10">
        <v>73</v>
      </c>
      <c r="B74" s="10">
        <v>73</v>
      </c>
      <c r="C74" s="13">
        <v>910956</v>
      </c>
      <c r="D74" s="13">
        <v>910384</v>
      </c>
      <c r="E74" s="9">
        <v>1074.8</v>
      </c>
      <c r="F74" s="9">
        <v>186.1</v>
      </c>
      <c r="G74" s="11">
        <v>1.4634</v>
      </c>
      <c r="H74" s="13">
        <v>7091</v>
      </c>
      <c r="I74" s="13">
        <v>29093</v>
      </c>
      <c r="J74" s="10">
        <v>92</v>
      </c>
      <c r="K74" s="13">
        <v>42</v>
      </c>
      <c r="L74" s="17">
        <v>24.88</v>
      </c>
      <c r="M74" s="13">
        <v>0</v>
      </c>
    </row>
    <row r="75" spans="1:13" x14ac:dyDescent="0.25">
      <c r="A75" s="10">
        <v>74</v>
      </c>
      <c r="B75" s="10">
        <v>74</v>
      </c>
      <c r="C75" s="13">
        <v>912759</v>
      </c>
      <c r="D75" s="13">
        <v>912235</v>
      </c>
      <c r="E75" s="9">
        <v>1075.8</v>
      </c>
      <c r="F75" s="9">
        <v>186.4</v>
      </c>
      <c r="G75" s="11">
        <v>1.4638</v>
      </c>
      <c r="H75" s="13">
        <v>4578</v>
      </c>
      <c r="I75" s="13">
        <v>28617</v>
      </c>
      <c r="J75" s="10">
        <v>91</v>
      </c>
      <c r="K75" s="13">
        <v>22</v>
      </c>
      <c r="L75" s="17">
        <v>24.87</v>
      </c>
      <c r="M75" s="13">
        <v>0</v>
      </c>
    </row>
    <row r="76" spans="1:13" x14ac:dyDescent="0.25">
      <c r="A76" s="10">
        <v>75</v>
      </c>
      <c r="B76" s="10">
        <v>75</v>
      </c>
      <c r="C76" s="13">
        <v>908601</v>
      </c>
      <c r="D76" s="13">
        <v>908007</v>
      </c>
      <c r="E76" s="9">
        <v>1078.9000000000001</v>
      </c>
      <c r="F76" s="9">
        <v>189.7</v>
      </c>
      <c r="G76" s="11">
        <v>1.4635</v>
      </c>
      <c r="H76" s="13">
        <v>5376</v>
      </c>
      <c r="I76" s="13">
        <v>28117</v>
      </c>
      <c r="J76" s="10">
        <v>94</v>
      </c>
      <c r="K76" s="13">
        <v>47</v>
      </c>
      <c r="L76" s="17">
        <v>24.88</v>
      </c>
      <c r="M76" s="13">
        <v>0</v>
      </c>
    </row>
    <row r="77" spans="1:13" x14ac:dyDescent="0.25">
      <c r="A77" s="10">
        <v>76</v>
      </c>
      <c r="B77" s="10">
        <v>76</v>
      </c>
      <c r="C77" s="13">
        <v>909393</v>
      </c>
      <c r="D77" s="13">
        <v>908782</v>
      </c>
      <c r="E77" s="9">
        <v>1074.7</v>
      </c>
      <c r="F77" s="9">
        <v>185.8</v>
      </c>
      <c r="G77" s="11">
        <v>1.4631000000000001</v>
      </c>
      <c r="H77" s="13">
        <v>3710</v>
      </c>
      <c r="I77" s="13">
        <v>28873</v>
      </c>
      <c r="J77" s="10">
        <v>91</v>
      </c>
      <c r="K77" s="13">
        <v>45</v>
      </c>
      <c r="L77" s="17">
        <v>24.88</v>
      </c>
      <c r="M77" s="13">
        <v>0</v>
      </c>
    </row>
    <row r="78" spans="1:13" x14ac:dyDescent="0.25">
      <c r="A78" s="10">
        <v>77</v>
      </c>
      <c r="B78" s="10">
        <v>77</v>
      </c>
      <c r="C78" s="13">
        <v>910981</v>
      </c>
      <c r="D78" s="13">
        <v>910401</v>
      </c>
      <c r="E78" s="9">
        <v>1077.4000000000001</v>
      </c>
      <c r="F78" s="9">
        <v>188.2</v>
      </c>
      <c r="G78" s="11">
        <v>1.4643999999999999</v>
      </c>
      <c r="H78" s="13">
        <v>5518</v>
      </c>
      <c r="I78" s="13">
        <v>28977</v>
      </c>
      <c r="J78" s="10">
        <v>93</v>
      </c>
      <c r="K78" s="13">
        <v>47</v>
      </c>
      <c r="L78" s="17">
        <v>24.88</v>
      </c>
      <c r="M78" s="13">
        <v>0</v>
      </c>
    </row>
    <row r="79" spans="1:13" x14ac:dyDescent="0.25">
      <c r="A79" s="10">
        <v>78</v>
      </c>
      <c r="B79" s="10">
        <v>78</v>
      </c>
      <c r="C79" s="13">
        <v>910750</v>
      </c>
      <c r="D79" s="13">
        <v>910202</v>
      </c>
      <c r="E79" s="9">
        <v>1074.0999999999999</v>
      </c>
      <c r="F79" s="9">
        <v>184.6</v>
      </c>
      <c r="G79" s="11">
        <v>1.4633</v>
      </c>
      <c r="H79" s="13">
        <v>1540</v>
      </c>
      <c r="I79" s="13">
        <v>28919</v>
      </c>
      <c r="J79" s="10">
        <v>94</v>
      </c>
      <c r="K79" s="13">
        <v>37</v>
      </c>
      <c r="L79" s="17">
        <v>24.88</v>
      </c>
      <c r="M79" s="13">
        <v>0</v>
      </c>
    </row>
    <row r="80" spans="1:13" x14ac:dyDescent="0.25">
      <c r="A80" s="10">
        <v>79</v>
      </c>
      <c r="B80" s="10">
        <v>79</v>
      </c>
      <c r="C80" s="13">
        <v>912026</v>
      </c>
      <c r="D80" s="13">
        <v>911501</v>
      </c>
      <c r="E80" s="9">
        <v>1073.7</v>
      </c>
      <c r="F80" s="9">
        <v>184.9</v>
      </c>
      <c r="G80" s="11">
        <v>1.4621</v>
      </c>
      <c r="H80" s="13">
        <v>2262</v>
      </c>
      <c r="I80" s="13">
        <v>28126</v>
      </c>
      <c r="J80" s="10">
        <v>93</v>
      </c>
      <c r="K80" s="13">
        <v>27</v>
      </c>
      <c r="L80" s="17">
        <v>24.87</v>
      </c>
      <c r="M80" s="13">
        <v>0</v>
      </c>
    </row>
    <row r="81" spans="1:13" x14ac:dyDescent="0.25">
      <c r="A81" s="10">
        <v>80</v>
      </c>
      <c r="B81" s="10">
        <v>80</v>
      </c>
      <c r="C81" s="13">
        <v>910589</v>
      </c>
      <c r="D81" s="13">
        <v>910019</v>
      </c>
      <c r="E81" s="9">
        <v>1073.2</v>
      </c>
      <c r="F81" s="9">
        <v>183.7</v>
      </c>
      <c r="G81" s="11">
        <v>1.4641</v>
      </c>
      <c r="H81" s="13">
        <v>3099</v>
      </c>
      <c r="I81" s="13">
        <v>28613</v>
      </c>
      <c r="J81" s="10">
        <v>94</v>
      </c>
      <c r="K81" s="13">
        <v>29</v>
      </c>
      <c r="L81" s="17">
        <v>24.87</v>
      </c>
      <c r="M81" s="13">
        <v>0</v>
      </c>
    </row>
    <row r="82" spans="1:13" x14ac:dyDescent="0.25">
      <c r="A82" s="10">
        <v>81</v>
      </c>
      <c r="B82" s="10">
        <v>81</v>
      </c>
      <c r="C82" s="13">
        <v>910556</v>
      </c>
      <c r="D82" s="13">
        <v>909954</v>
      </c>
      <c r="E82" s="9">
        <v>1075.4000000000001</v>
      </c>
      <c r="F82" s="9">
        <v>186.2</v>
      </c>
      <c r="G82" s="11">
        <v>1.4644999999999999</v>
      </c>
      <c r="H82" s="13">
        <v>2721</v>
      </c>
      <c r="I82" s="13">
        <v>28568</v>
      </c>
      <c r="J82" s="10">
        <v>91</v>
      </c>
      <c r="K82" s="13">
        <v>45</v>
      </c>
      <c r="L82" s="17">
        <v>24.88</v>
      </c>
      <c r="M82" s="13">
        <v>0</v>
      </c>
    </row>
    <row r="83" spans="1:13" x14ac:dyDescent="0.25">
      <c r="A83" s="10">
        <v>82</v>
      </c>
      <c r="B83" s="10">
        <v>82</v>
      </c>
      <c r="C83" s="13">
        <v>912134</v>
      </c>
      <c r="D83" s="13">
        <v>911494</v>
      </c>
      <c r="E83" s="9">
        <v>1071.9000000000001</v>
      </c>
      <c r="F83" s="9">
        <v>182.7</v>
      </c>
      <c r="G83" s="11">
        <v>1.4636</v>
      </c>
      <c r="H83" s="13">
        <v>1675</v>
      </c>
      <c r="I83" s="13">
        <v>27977</v>
      </c>
      <c r="J83" s="10">
        <v>95</v>
      </c>
      <c r="K83" s="13">
        <v>41</v>
      </c>
      <c r="L83" s="17">
        <v>24.87</v>
      </c>
      <c r="M83" s="13">
        <v>0</v>
      </c>
    </row>
    <row r="84" spans="1:13" x14ac:dyDescent="0.25">
      <c r="A84" s="10">
        <v>83</v>
      </c>
      <c r="B84" s="10">
        <v>83</v>
      </c>
      <c r="C84" s="13">
        <v>910461</v>
      </c>
      <c r="D84" s="13">
        <v>909825</v>
      </c>
      <c r="E84" s="9">
        <v>1074.9000000000001</v>
      </c>
      <c r="F84" s="9">
        <v>185.7</v>
      </c>
      <c r="G84" s="11">
        <v>1.4624999999999999</v>
      </c>
      <c r="H84" s="13">
        <v>2007</v>
      </c>
      <c r="I84" s="13">
        <v>27998</v>
      </c>
      <c r="J84" s="10">
        <v>97</v>
      </c>
      <c r="K84" s="13">
        <v>28</v>
      </c>
      <c r="L84" s="17">
        <v>24.88</v>
      </c>
      <c r="M84" s="13">
        <v>0</v>
      </c>
    </row>
    <row r="85" spans="1:13" x14ac:dyDescent="0.25">
      <c r="A85" s="10">
        <v>84</v>
      </c>
      <c r="B85" s="10">
        <v>84</v>
      </c>
      <c r="C85" s="13">
        <v>910061</v>
      </c>
      <c r="D85" s="13">
        <v>909460</v>
      </c>
      <c r="E85" s="9">
        <v>1073.4000000000001</v>
      </c>
      <c r="F85" s="9">
        <v>184.5</v>
      </c>
      <c r="G85" s="11">
        <v>1.4632000000000001</v>
      </c>
      <c r="H85" s="13">
        <v>2470</v>
      </c>
      <c r="I85" s="13">
        <v>28641</v>
      </c>
      <c r="J85" s="10">
        <v>93</v>
      </c>
      <c r="K85" s="13">
        <v>41</v>
      </c>
      <c r="L85" s="17">
        <v>24.87</v>
      </c>
      <c r="M85" s="13">
        <v>0</v>
      </c>
    </row>
    <row r="86" spans="1:13" x14ac:dyDescent="0.25">
      <c r="A86" s="10">
        <v>85</v>
      </c>
      <c r="B86" s="10">
        <v>85</v>
      </c>
      <c r="C86" s="13">
        <v>911562</v>
      </c>
      <c r="D86" s="13">
        <v>910996</v>
      </c>
      <c r="E86" s="9">
        <v>1073.3</v>
      </c>
      <c r="F86" s="9">
        <v>185</v>
      </c>
      <c r="G86" s="11">
        <v>1.4631000000000001</v>
      </c>
      <c r="H86" s="13">
        <v>2304</v>
      </c>
      <c r="I86" s="13">
        <v>27983</v>
      </c>
      <c r="J86" s="10">
        <v>92</v>
      </c>
      <c r="K86" s="13">
        <v>30</v>
      </c>
      <c r="L86" s="17">
        <v>24.88</v>
      </c>
      <c r="M86" s="13">
        <v>0</v>
      </c>
    </row>
    <row r="87" spans="1:13" x14ac:dyDescent="0.25">
      <c r="A87" s="10">
        <v>86</v>
      </c>
      <c r="B87" s="10">
        <v>86</v>
      </c>
      <c r="C87" s="13">
        <v>911497</v>
      </c>
      <c r="D87" s="13">
        <v>910817</v>
      </c>
      <c r="E87" s="9">
        <v>1075.5999999999999</v>
      </c>
      <c r="F87" s="9">
        <v>186.8</v>
      </c>
      <c r="G87" s="11">
        <v>1.4625999999999999</v>
      </c>
      <c r="H87" s="13">
        <v>5815</v>
      </c>
      <c r="I87" s="13">
        <v>29108</v>
      </c>
      <c r="J87" s="10">
        <v>93</v>
      </c>
      <c r="K87" s="13">
        <v>33</v>
      </c>
      <c r="L87" s="17">
        <v>24.88</v>
      </c>
      <c r="M87" s="13">
        <v>0</v>
      </c>
    </row>
    <row r="88" spans="1:13" x14ac:dyDescent="0.25">
      <c r="A88" s="10">
        <v>87</v>
      </c>
      <c r="B88" s="10">
        <v>87</v>
      </c>
      <c r="C88" s="13">
        <v>910785</v>
      </c>
      <c r="D88" s="13">
        <v>910265</v>
      </c>
      <c r="E88" s="9">
        <v>1071.9000000000001</v>
      </c>
      <c r="F88" s="9">
        <v>183</v>
      </c>
      <c r="G88" s="11">
        <v>1.4632000000000001</v>
      </c>
      <c r="H88" s="13">
        <v>2136</v>
      </c>
      <c r="I88" s="13">
        <v>28730</v>
      </c>
      <c r="J88" s="10">
        <v>93</v>
      </c>
      <c r="K88" s="13">
        <v>33</v>
      </c>
      <c r="L88" s="17">
        <v>24.87</v>
      </c>
      <c r="M88" s="13">
        <v>0</v>
      </c>
    </row>
    <row r="89" spans="1:13" x14ac:dyDescent="0.25">
      <c r="A89" s="10">
        <v>88</v>
      </c>
      <c r="B89" s="10">
        <v>88</v>
      </c>
      <c r="C89" s="13">
        <v>910547</v>
      </c>
      <c r="D89" s="13">
        <v>909956</v>
      </c>
      <c r="E89" s="9">
        <v>1077.0999999999999</v>
      </c>
      <c r="F89" s="9">
        <v>187.7</v>
      </c>
      <c r="G89" s="11">
        <v>1.4633</v>
      </c>
      <c r="H89" s="13">
        <v>8311</v>
      </c>
      <c r="I89" s="13">
        <v>28703</v>
      </c>
      <c r="J89" s="10">
        <v>94</v>
      </c>
      <c r="K89" s="13">
        <v>45</v>
      </c>
      <c r="L89" s="17">
        <v>24.88</v>
      </c>
      <c r="M89" s="13">
        <v>0</v>
      </c>
    </row>
    <row r="90" spans="1:13" x14ac:dyDescent="0.25">
      <c r="A90" s="10">
        <v>89</v>
      </c>
      <c r="B90" s="10">
        <v>89</v>
      </c>
      <c r="C90" s="13">
        <v>910979</v>
      </c>
      <c r="D90" s="13">
        <v>910410</v>
      </c>
      <c r="E90" s="9">
        <v>1073.3</v>
      </c>
      <c r="F90" s="9">
        <v>183.7</v>
      </c>
      <c r="G90" s="11">
        <v>1.4634</v>
      </c>
      <c r="H90" s="13">
        <v>2337</v>
      </c>
      <c r="I90" s="13">
        <v>28141</v>
      </c>
      <c r="J90" s="10">
        <v>94</v>
      </c>
      <c r="K90" s="13">
        <v>36</v>
      </c>
      <c r="L90" s="17">
        <v>24.87</v>
      </c>
      <c r="M90" s="13">
        <v>0</v>
      </c>
    </row>
    <row r="91" spans="1:13" x14ac:dyDescent="0.25">
      <c r="A91" s="10">
        <v>90</v>
      </c>
      <c r="B91" s="10">
        <v>90</v>
      </c>
      <c r="C91" s="13">
        <v>912479</v>
      </c>
      <c r="D91" s="13">
        <v>911883</v>
      </c>
      <c r="E91" s="9">
        <v>1072.3</v>
      </c>
      <c r="F91" s="9">
        <v>183.5</v>
      </c>
      <c r="G91" s="11">
        <v>1.4630000000000001</v>
      </c>
      <c r="H91" s="13">
        <v>1703</v>
      </c>
      <c r="I91" s="13">
        <v>28221</v>
      </c>
      <c r="J91" s="10">
        <v>92</v>
      </c>
      <c r="K91" s="13">
        <v>45</v>
      </c>
      <c r="L91" s="17">
        <v>24.87</v>
      </c>
      <c r="M91" s="13">
        <v>0</v>
      </c>
    </row>
    <row r="92" spans="1:13" x14ac:dyDescent="0.25">
      <c r="A92" s="10">
        <v>91</v>
      </c>
      <c r="B92" s="10">
        <v>91</v>
      </c>
      <c r="C92" s="13">
        <v>910993</v>
      </c>
      <c r="D92" s="13">
        <v>910339</v>
      </c>
      <c r="E92" s="9">
        <v>1071.8</v>
      </c>
      <c r="F92" s="9">
        <v>183.3</v>
      </c>
      <c r="G92" s="11">
        <v>1.462</v>
      </c>
      <c r="H92" s="13">
        <v>2746</v>
      </c>
      <c r="I92" s="13">
        <v>28342</v>
      </c>
      <c r="J92" s="10">
        <v>93</v>
      </c>
      <c r="K92" s="13">
        <v>40</v>
      </c>
      <c r="L92" s="17">
        <v>24.87</v>
      </c>
      <c r="M92" s="13">
        <v>0</v>
      </c>
    </row>
    <row r="93" spans="1:13" x14ac:dyDescent="0.25">
      <c r="A93" s="10">
        <v>92</v>
      </c>
      <c r="B93" s="10">
        <v>92</v>
      </c>
      <c r="C93" s="13">
        <v>910544</v>
      </c>
      <c r="D93" s="13">
        <v>910033</v>
      </c>
      <c r="E93" s="9">
        <v>1080.7</v>
      </c>
      <c r="F93" s="9">
        <v>191.1</v>
      </c>
      <c r="G93" s="11">
        <v>1.4635</v>
      </c>
      <c r="H93" s="13">
        <v>14672</v>
      </c>
      <c r="I93" s="13">
        <v>29013</v>
      </c>
      <c r="J93" s="10">
        <v>93</v>
      </c>
      <c r="K93" s="13">
        <v>56</v>
      </c>
      <c r="L93" s="17">
        <v>24.88</v>
      </c>
      <c r="M93" s="13">
        <v>0</v>
      </c>
    </row>
    <row r="94" spans="1:13" x14ac:dyDescent="0.25">
      <c r="A94" s="10">
        <v>93</v>
      </c>
      <c r="B94" s="10">
        <v>93</v>
      </c>
      <c r="C94" s="13">
        <v>911067</v>
      </c>
      <c r="D94" s="13">
        <v>910444</v>
      </c>
      <c r="E94" s="9">
        <v>1073.5</v>
      </c>
      <c r="F94" s="9">
        <v>184.3</v>
      </c>
      <c r="G94" s="11">
        <v>1.4631000000000001</v>
      </c>
      <c r="H94" s="13">
        <v>5378</v>
      </c>
      <c r="I94" s="13">
        <v>28593</v>
      </c>
      <c r="J94" s="10">
        <v>93</v>
      </c>
      <c r="K94" s="13">
        <v>45</v>
      </c>
      <c r="L94" s="17">
        <v>24.87</v>
      </c>
      <c r="M94" s="13">
        <v>0</v>
      </c>
    </row>
    <row r="95" spans="1:13" x14ac:dyDescent="0.25">
      <c r="A95" s="10">
        <v>94</v>
      </c>
      <c r="B95" s="10">
        <v>94</v>
      </c>
      <c r="C95" s="13">
        <v>911182</v>
      </c>
      <c r="D95" s="13">
        <v>910561</v>
      </c>
      <c r="E95" s="9">
        <v>1072</v>
      </c>
      <c r="F95" s="9">
        <v>183.6</v>
      </c>
      <c r="G95" s="11">
        <v>1.4624999999999999</v>
      </c>
      <c r="H95" s="13">
        <v>858</v>
      </c>
      <c r="I95" s="13">
        <v>28037</v>
      </c>
      <c r="J95" s="10">
        <v>95</v>
      </c>
      <c r="K95" s="13">
        <v>45</v>
      </c>
      <c r="L95" s="17">
        <v>24.87</v>
      </c>
      <c r="M95" s="13">
        <v>0</v>
      </c>
    </row>
    <row r="96" spans="1:13" x14ac:dyDescent="0.25">
      <c r="A96" s="10">
        <v>95</v>
      </c>
      <c r="B96" s="10">
        <v>95</v>
      </c>
      <c r="C96" s="13">
        <v>911614</v>
      </c>
      <c r="D96" s="13">
        <v>911040</v>
      </c>
      <c r="E96" s="9">
        <v>1071.5</v>
      </c>
      <c r="F96" s="9">
        <v>182.2</v>
      </c>
      <c r="G96" s="11">
        <v>1.4630000000000001</v>
      </c>
      <c r="H96" s="13">
        <v>830</v>
      </c>
      <c r="I96" s="13">
        <v>28469</v>
      </c>
      <c r="J96" s="10">
        <v>94</v>
      </c>
      <c r="K96" s="13">
        <v>36</v>
      </c>
      <c r="L96" s="17">
        <v>24.87</v>
      </c>
      <c r="M96" s="13">
        <v>0</v>
      </c>
    </row>
    <row r="97" spans="1:13" x14ac:dyDescent="0.25">
      <c r="A97" s="10">
        <v>96</v>
      </c>
      <c r="B97" s="10">
        <v>96</v>
      </c>
      <c r="C97" s="13">
        <v>911349</v>
      </c>
      <c r="D97" s="13">
        <v>910765</v>
      </c>
      <c r="E97" s="9">
        <v>1073.5999999999999</v>
      </c>
      <c r="F97" s="9">
        <v>184.7</v>
      </c>
      <c r="G97" s="11">
        <v>1.4628000000000001</v>
      </c>
      <c r="H97" s="13">
        <v>2313</v>
      </c>
      <c r="I97" s="13">
        <v>28206</v>
      </c>
      <c r="J97" s="10">
        <v>93</v>
      </c>
      <c r="K97" s="13">
        <v>30</v>
      </c>
      <c r="L97" s="17">
        <v>24.88</v>
      </c>
      <c r="M97" s="13">
        <v>0</v>
      </c>
    </row>
    <row r="98" spans="1:13" x14ac:dyDescent="0.25">
      <c r="A98" s="10">
        <v>97</v>
      </c>
      <c r="B98" s="10">
        <v>97</v>
      </c>
      <c r="C98" s="13">
        <v>908935</v>
      </c>
      <c r="D98" s="13">
        <v>908312</v>
      </c>
      <c r="E98" s="9">
        <v>1072.9000000000001</v>
      </c>
      <c r="F98" s="9">
        <v>183.8</v>
      </c>
      <c r="G98" s="11">
        <v>1.4632000000000001</v>
      </c>
      <c r="H98" s="13">
        <v>3387</v>
      </c>
      <c r="I98" s="13">
        <v>28636</v>
      </c>
      <c r="J98" s="10">
        <v>93</v>
      </c>
      <c r="K98" s="13">
        <v>47</v>
      </c>
      <c r="L98" s="17">
        <v>24.87</v>
      </c>
      <c r="M98" s="13">
        <v>0</v>
      </c>
    </row>
    <row r="99" spans="1:13" x14ac:dyDescent="0.25">
      <c r="A99" s="10">
        <v>98</v>
      </c>
      <c r="B99" s="10">
        <v>98</v>
      </c>
      <c r="C99" s="13">
        <v>912507</v>
      </c>
      <c r="D99" s="13">
        <v>911947</v>
      </c>
      <c r="E99" s="9">
        <v>1073.8</v>
      </c>
      <c r="F99" s="9">
        <v>185.3</v>
      </c>
      <c r="G99" s="11">
        <v>1.4626999999999999</v>
      </c>
      <c r="H99" s="13">
        <v>2469</v>
      </c>
      <c r="I99" s="13">
        <v>28374</v>
      </c>
      <c r="J99" s="10">
        <v>95</v>
      </c>
      <c r="K99" s="13">
        <v>33</v>
      </c>
      <c r="L99" s="17">
        <v>24.87</v>
      </c>
      <c r="M99" s="13">
        <v>0</v>
      </c>
    </row>
    <row r="100" spans="1:13" x14ac:dyDescent="0.25">
      <c r="A100" s="10">
        <v>99</v>
      </c>
      <c r="B100" s="10">
        <v>99</v>
      </c>
      <c r="C100" s="13">
        <v>911020</v>
      </c>
      <c r="D100" s="13">
        <v>910427</v>
      </c>
      <c r="E100" s="9">
        <v>1071.5999999999999</v>
      </c>
      <c r="F100" s="9">
        <v>182.5</v>
      </c>
      <c r="G100" s="11">
        <v>1.4622999999999999</v>
      </c>
      <c r="H100" s="13">
        <v>4873</v>
      </c>
      <c r="I100" s="13">
        <v>28067</v>
      </c>
      <c r="J100" s="10">
        <v>92</v>
      </c>
      <c r="K100" s="13">
        <v>42</v>
      </c>
      <c r="L100" s="17">
        <v>24.87</v>
      </c>
      <c r="M100" s="13">
        <v>0</v>
      </c>
    </row>
    <row r="101" spans="1:13" x14ac:dyDescent="0.25">
      <c r="A101" s="10">
        <v>100</v>
      </c>
      <c r="B101" s="10">
        <v>100</v>
      </c>
      <c r="C101" s="13">
        <v>910362</v>
      </c>
      <c r="D101" s="13">
        <v>909807</v>
      </c>
      <c r="E101" s="9">
        <v>1075.5999999999999</v>
      </c>
      <c r="F101" s="9">
        <v>186.6</v>
      </c>
      <c r="G101" s="11">
        <v>1.4624999999999999</v>
      </c>
      <c r="H101" s="13">
        <v>3468</v>
      </c>
      <c r="I101" s="13">
        <v>28454</v>
      </c>
      <c r="J101" s="10">
        <v>92</v>
      </c>
      <c r="K101" s="13">
        <v>37</v>
      </c>
      <c r="L101" s="17">
        <v>24.88</v>
      </c>
      <c r="M101" s="13">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101"/>
  <sheetViews>
    <sheetView workbookViewId="0">
      <pane ySplit="1" topLeftCell="A2" activePane="bottomLeft" state="frozen"/>
      <selection pane="bottomLeft"/>
    </sheetView>
  </sheetViews>
  <sheetFormatPr baseColWidth="10" defaultColWidth="9.140625" defaultRowHeight="15" x14ac:dyDescent="0.25"/>
  <cols>
    <col min="1" max="20" width="15" customWidth="1"/>
    <col min="21" max="22" width="30" customWidth="1"/>
  </cols>
  <sheetData>
    <row r="1" spans="1:22" ht="45" customHeight="1" x14ac:dyDescent="0.25">
      <c r="A1" s="7" t="s">
        <v>5</v>
      </c>
      <c r="B1" s="7" t="s">
        <v>160</v>
      </c>
      <c r="C1" s="7" t="s">
        <v>161</v>
      </c>
      <c r="D1" s="7" t="s">
        <v>31</v>
      </c>
      <c r="E1" s="7" t="s">
        <v>48</v>
      </c>
      <c r="F1" s="7" t="s">
        <v>162</v>
      </c>
      <c r="G1" s="7" t="s">
        <v>169</v>
      </c>
      <c r="H1" s="7" t="s">
        <v>164</v>
      </c>
      <c r="I1" s="7" t="s">
        <v>165</v>
      </c>
      <c r="J1" s="7" t="s">
        <v>170</v>
      </c>
      <c r="K1" s="7" t="s">
        <v>171</v>
      </c>
      <c r="L1" s="7" t="s">
        <v>172</v>
      </c>
      <c r="M1" s="7" t="s">
        <v>173</v>
      </c>
      <c r="N1" s="7" t="s">
        <v>174</v>
      </c>
      <c r="O1" s="7" t="s">
        <v>175</v>
      </c>
      <c r="P1" s="7" t="s">
        <v>166</v>
      </c>
      <c r="Q1" s="7" t="s">
        <v>176</v>
      </c>
      <c r="R1" s="7" t="s">
        <v>167</v>
      </c>
      <c r="S1" s="7" t="s">
        <v>177</v>
      </c>
      <c r="T1" s="7" t="s">
        <v>178</v>
      </c>
      <c r="U1" s="7" t="s">
        <v>179</v>
      </c>
      <c r="V1" s="7" t="s">
        <v>180</v>
      </c>
    </row>
    <row r="2" spans="1:22" x14ac:dyDescent="0.25">
      <c r="A2" s="10">
        <v>1</v>
      </c>
      <c r="B2" s="13">
        <v>826341</v>
      </c>
      <c r="C2" s="13">
        <v>825998</v>
      </c>
      <c r="D2" s="9">
        <v>1110.5999999999999</v>
      </c>
      <c r="E2" s="9">
        <v>187.7</v>
      </c>
      <c r="F2" s="11">
        <v>1.4430000000000001</v>
      </c>
      <c r="G2" s="13">
        <v>893</v>
      </c>
      <c r="H2" s="13">
        <v>26605</v>
      </c>
      <c r="I2" s="10">
        <v>81</v>
      </c>
      <c r="J2" s="13">
        <v>128</v>
      </c>
      <c r="K2" s="13">
        <v>300</v>
      </c>
      <c r="L2" s="13">
        <v>0</v>
      </c>
      <c r="M2" s="13">
        <v>465</v>
      </c>
      <c r="N2" s="13">
        <v>0</v>
      </c>
      <c r="O2" s="13">
        <v>0</v>
      </c>
      <c r="P2" s="13">
        <v>32</v>
      </c>
      <c r="Q2" s="13">
        <v>342</v>
      </c>
      <c r="R2" s="17">
        <v>24</v>
      </c>
      <c r="S2" s="13">
        <v>12317</v>
      </c>
      <c r="T2" s="13">
        <v>0</v>
      </c>
      <c r="U2" s="18" t="s">
        <v>181</v>
      </c>
      <c r="V2" s="18" t="s">
        <v>56</v>
      </c>
    </row>
    <row r="3" spans="1:22" x14ac:dyDescent="0.25">
      <c r="A3" s="10">
        <v>2</v>
      </c>
      <c r="B3" s="13">
        <v>828506</v>
      </c>
      <c r="C3" s="13">
        <v>828072</v>
      </c>
      <c r="D3" s="9">
        <v>1110.7</v>
      </c>
      <c r="E3" s="9">
        <v>188.7</v>
      </c>
      <c r="F3" s="11">
        <v>1.4415</v>
      </c>
      <c r="G3" s="13">
        <v>4143</v>
      </c>
      <c r="H3" s="13">
        <v>27318</v>
      </c>
      <c r="I3" s="10">
        <v>81</v>
      </c>
      <c r="J3" s="13">
        <v>80</v>
      </c>
      <c r="K3" s="13">
        <v>3037</v>
      </c>
      <c r="L3" s="13">
        <v>936</v>
      </c>
      <c r="M3" s="13">
        <v>39</v>
      </c>
      <c r="N3" s="13">
        <v>51</v>
      </c>
      <c r="O3" s="13">
        <v>0</v>
      </c>
      <c r="P3" s="13">
        <v>23</v>
      </c>
      <c r="Q3" s="13">
        <v>209</v>
      </c>
      <c r="R3" s="17">
        <v>24</v>
      </c>
      <c r="S3" s="13">
        <v>12567</v>
      </c>
      <c r="T3" s="13">
        <v>0</v>
      </c>
      <c r="U3" s="18" t="s">
        <v>181</v>
      </c>
      <c r="V3" s="18" t="s">
        <v>56</v>
      </c>
    </row>
    <row r="4" spans="1:22" x14ac:dyDescent="0.25">
      <c r="A4" s="10">
        <v>3</v>
      </c>
      <c r="B4" s="13">
        <v>828200</v>
      </c>
      <c r="C4" s="13">
        <v>827806</v>
      </c>
      <c r="D4" s="9">
        <v>1113.4000000000001</v>
      </c>
      <c r="E4" s="9">
        <v>190.1</v>
      </c>
      <c r="F4" s="11">
        <v>1.4437</v>
      </c>
      <c r="G4" s="13">
        <v>4065</v>
      </c>
      <c r="H4" s="13">
        <v>26596</v>
      </c>
      <c r="I4" s="10">
        <v>81</v>
      </c>
      <c r="J4" s="13">
        <v>12</v>
      </c>
      <c r="K4" s="13">
        <v>951</v>
      </c>
      <c r="L4" s="13">
        <v>2491</v>
      </c>
      <c r="M4" s="13">
        <v>468</v>
      </c>
      <c r="N4" s="13">
        <v>143</v>
      </c>
      <c r="O4" s="13">
        <v>0</v>
      </c>
      <c r="P4" s="13">
        <v>38</v>
      </c>
      <c r="Q4" s="13">
        <v>347</v>
      </c>
      <c r="R4" s="17">
        <v>24</v>
      </c>
      <c r="S4" s="13">
        <v>12456</v>
      </c>
      <c r="T4" s="13">
        <v>0</v>
      </c>
      <c r="U4" s="18" t="s">
        <v>181</v>
      </c>
      <c r="V4" s="18" t="s">
        <v>56</v>
      </c>
    </row>
    <row r="5" spans="1:22" x14ac:dyDescent="0.25">
      <c r="A5" s="10">
        <v>4</v>
      </c>
      <c r="B5" s="13">
        <v>827493</v>
      </c>
      <c r="C5" s="13">
        <v>827084</v>
      </c>
      <c r="D5" s="9">
        <v>1115</v>
      </c>
      <c r="E5" s="9">
        <v>192.6</v>
      </c>
      <c r="F5" s="11">
        <v>1.4419999999999999</v>
      </c>
      <c r="G5" s="13">
        <v>13759</v>
      </c>
      <c r="H5" s="13">
        <v>27270</v>
      </c>
      <c r="I5" s="10">
        <v>80</v>
      </c>
      <c r="J5" s="13">
        <v>2584</v>
      </c>
      <c r="K5" s="13">
        <v>7729</v>
      </c>
      <c r="L5" s="13">
        <v>2939</v>
      </c>
      <c r="M5" s="13">
        <v>507</v>
      </c>
      <c r="N5" s="13">
        <v>0</v>
      </c>
      <c r="O5" s="13">
        <v>0</v>
      </c>
      <c r="P5" s="13">
        <v>43</v>
      </c>
      <c r="Q5" s="13">
        <v>361</v>
      </c>
      <c r="R5" s="17">
        <v>24</v>
      </c>
      <c r="S5" s="13">
        <v>12076</v>
      </c>
      <c r="T5" s="13">
        <v>0</v>
      </c>
      <c r="U5" s="18" t="s">
        <v>182</v>
      </c>
      <c r="V5" s="18" t="s">
        <v>183</v>
      </c>
    </row>
    <row r="6" spans="1:22" x14ac:dyDescent="0.25">
      <c r="A6" s="10">
        <v>5</v>
      </c>
      <c r="B6" s="13">
        <v>826687</v>
      </c>
      <c r="C6" s="13">
        <v>826284</v>
      </c>
      <c r="D6" s="9">
        <v>1110.5</v>
      </c>
      <c r="E6" s="9">
        <v>188.4</v>
      </c>
      <c r="F6" s="11">
        <v>1.4430000000000001</v>
      </c>
      <c r="G6" s="13">
        <v>4667</v>
      </c>
      <c r="H6" s="13">
        <v>26861</v>
      </c>
      <c r="I6" s="10">
        <v>84</v>
      </c>
      <c r="J6" s="13">
        <v>2260</v>
      </c>
      <c r="K6" s="13">
        <v>1083</v>
      </c>
      <c r="L6" s="13">
        <v>1324</v>
      </c>
      <c r="M6" s="13">
        <v>0</v>
      </c>
      <c r="N6" s="13">
        <v>0</v>
      </c>
      <c r="O6" s="13">
        <v>0</v>
      </c>
      <c r="P6" s="13">
        <v>52</v>
      </c>
      <c r="Q6" s="13">
        <v>495</v>
      </c>
      <c r="R6" s="17">
        <v>24</v>
      </c>
      <c r="S6" s="13">
        <v>12175</v>
      </c>
      <c r="T6" s="13">
        <v>0</v>
      </c>
      <c r="U6" s="18" t="s">
        <v>184</v>
      </c>
      <c r="V6" s="18" t="s">
        <v>185</v>
      </c>
    </row>
    <row r="7" spans="1:22" x14ac:dyDescent="0.25">
      <c r="A7" s="10">
        <v>6</v>
      </c>
      <c r="B7" s="13">
        <v>828223</v>
      </c>
      <c r="C7" s="13">
        <v>827799</v>
      </c>
      <c r="D7" s="9">
        <v>1116</v>
      </c>
      <c r="E7" s="9">
        <v>194.2</v>
      </c>
      <c r="F7" s="11">
        <v>1.4412</v>
      </c>
      <c r="G7" s="13">
        <v>11645</v>
      </c>
      <c r="H7" s="13">
        <v>26725</v>
      </c>
      <c r="I7" s="10">
        <v>80</v>
      </c>
      <c r="J7" s="13">
        <v>0</v>
      </c>
      <c r="K7" s="13">
        <v>11325</v>
      </c>
      <c r="L7" s="13">
        <v>18</v>
      </c>
      <c r="M7" s="13">
        <v>121</v>
      </c>
      <c r="N7" s="13">
        <v>181</v>
      </c>
      <c r="O7" s="13">
        <v>0</v>
      </c>
      <c r="P7" s="13">
        <v>37</v>
      </c>
      <c r="Q7" s="13">
        <v>289</v>
      </c>
      <c r="R7" s="17">
        <v>24</v>
      </c>
      <c r="S7" s="13">
        <v>12269</v>
      </c>
      <c r="T7" s="13">
        <v>0</v>
      </c>
      <c r="U7" s="18" t="s">
        <v>181</v>
      </c>
      <c r="V7" s="18" t="s">
        <v>56</v>
      </c>
    </row>
    <row r="8" spans="1:22" x14ac:dyDescent="0.25">
      <c r="A8" s="10">
        <v>7</v>
      </c>
      <c r="B8" s="13">
        <v>827783</v>
      </c>
      <c r="C8" s="13">
        <v>827335</v>
      </c>
      <c r="D8" s="9">
        <v>1113.4000000000001</v>
      </c>
      <c r="E8" s="9">
        <v>190.5</v>
      </c>
      <c r="F8" s="11">
        <v>1.4428000000000001</v>
      </c>
      <c r="G8" s="13">
        <v>4251</v>
      </c>
      <c r="H8" s="13">
        <v>26265</v>
      </c>
      <c r="I8" s="10">
        <v>82</v>
      </c>
      <c r="J8" s="13">
        <v>1206</v>
      </c>
      <c r="K8" s="13">
        <v>2552</v>
      </c>
      <c r="L8" s="13">
        <v>237</v>
      </c>
      <c r="M8" s="13">
        <v>256</v>
      </c>
      <c r="N8" s="13">
        <v>0</v>
      </c>
      <c r="O8" s="13">
        <v>0</v>
      </c>
      <c r="P8" s="13">
        <v>33</v>
      </c>
      <c r="Q8" s="13">
        <v>294</v>
      </c>
      <c r="R8" s="17">
        <v>24</v>
      </c>
      <c r="S8" s="13">
        <v>12267</v>
      </c>
      <c r="T8" s="13">
        <v>0</v>
      </c>
      <c r="U8" s="18" t="s">
        <v>182</v>
      </c>
      <c r="V8" s="18" t="s">
        <v>183</v>
      </c>
    </row>
    <row r="9" spans="1:22" x14ac:dyDescent="0.25">
      <c r="A9" s="10">
        <v>8</v>
      </c>
      <c r="B9" s="13">
        <v>827387</v>
      </c>
      <c r="C9" s="13">
        <v>826993</v>
      </c>
      <c r="D9" s="9">
        <v>1112.5</v>
      </c>
      <c r="E9" s="9">
        <v>190.8</v>
      </c>
      <c r="F9" s="11">
        <v>1.4415</v>
      </c>
      <c r="G9" s="13">
        <v>7357</v>
      </c>
      <c r="H9" s="13">
        <v>26779</v>
      </c>
      <c r="I9" s="10">
        <v>83</v>
      </c>
      <c r="J9" s="13">
        <v>3926</v>
      </c>
      <c r="K9" s="13">
        <v>1998</v>
      </c>
      <c r="L9" s="13">
        <v>543</v>
      </c>
      <c r="M9" s="13">
        <v>685</v>
      </c>
      <c r="N9" s="13">
        <v>93</v>
      </c>
      <c r="O9" s="13">
        <v>112</v>
      </c>
      <c r="P9" s="13">
        <v>61</v>
      </c>
      <c r="Q9" s="13">
        <v>657</v>
      </c>
      <c r="R9" s="17">
        <v>24</v>
      </c>
      <c r="S9" s="13">
        <v>12697</v>
      </c>
      <c r="T9" s="13">
        <v>0</v>
      </c>
      <c r="U9" s="18" t="s">
        <v>182</v>
      </c>
      <c r="V9" s="18" t="s">
        <v>183</v>
      </c>
    </row>
    <row r="10" spans="1:22" x14ac:dyDescent="0.25">
      <c r="A10" s="10">
        <v>9</v>
      </c>
      <c r="B10" s="13">
        <v>827931</v>
      </c>
      <c r="C10" s="13">
        <v>827497</v>
      </c>
      <c r="D10" s="9">
        <v>1110.7</v>
      </c>
      <c r="E10" s="9">
        <v>189.1</v>
      </c>
      <c r="F10" s="11">
        <v>1.4426000000000001</v>
      </c>
      <c r="G10" s="13">
        <v>5527</v>
      </c>
      <c r="H10" s="13">
        <v>26744</v>
      </c>
      <c r="I10" s="10">
        <v>81</v>
      </c>
      <c r="J10" s="13">
        <v>6</v>
      </c>
      <c r="K10" s="13">
        <v>2989</v>
      </c>
      <c r="L10" s="13">
        <v>1543</v>
      </c>
      <c r="M10" s="13">
        <v>0</v>
      </c>
      <c r="N10" s="13">
        <v>989</v>
      </c>
      <c r="O10" s="13">
        <v>0</v>
      </c>
      <c r="P10" s="13">
        <v>39</v>
      </c>
      <c r="Q10" s="13">
        <v>252</v>
      </c>
      <c r="R10" s="17">
        <v>24</v>
      </c>
      <c r="S10" s="13">
        <v>12688</v>
      </c>
      <c r="T10" s="13">
        <v>0</v>
      </c>
      <c r="U10" s="18" t="s">
        <v>181</v>
      </c>
      <c r="V10" s="18" t="s">
        <v>56</v>
      </c>
    </row>
    <row r="11" spans="1:22" x14ac:dyDescent="0.25">
      <c r="A11" s="10">
        <v>10</v>
      </c>
      <c r="B11" s="13">
        <v>826620</v>
      </c>
      <c r="C11" s="13">
        <v>826189</v>
      </c>
      <c r="D11" s="9">
        <v>1111.9000000000001</v>
      </c>
      <c r="E11" s="9">
        <v>188.9</v>
      </c>
      <c r="F11" s="11">
        <v>1.4424999999999999</v>
      </c>
      <c r="G11" s="13">
        <v>6392</v>
      </c>
      <c r="H11" s="13">
        <v>27110</v>
      </c>
      <c r="I11" s="10">
        <v>81</v>
      </c>
      <c r="J11" s="13">
        <v>252</v>
      </c>
      <c r="K11" s="13">
        <v>5299</v>
      </c>
      <c r="L11" s="13">
        <v>683</v>
      </c>
      <c r="M11" s="13">
        <v>0</v>
      </c>
      <c r="N11" s="13">
        <v>158</v>
      </c>
      <c r="O11" s="13">
        <v>0</v>
      </c>
      <c r="P11" s="13">
        <v>49</v>
      </c>
      <c r="Q11" s="13">
        <v>487</v>
      </c>
      <c r="R11" s="17">
        <v>24</v>
      </c>
      <c r="S11" s="13">
        <v>12346</v>
      </c>
      <c r="T11" s="13">
        <v>0</v>
      </c>
      <c r="U11" s="18" t="s">
        <v>182</v>
      </c>
      <c r="V11" s="18" t="s">
        <v>183</v>
      </c>
    </row>
    <row r="12" spans="1:22" x14ac:dyDescent="0.25">
      <c r="A12" s="10">
        <v>11</v>
      </c>
      <c r="B12" s="13">
        <v>827104</v>
      </c>
      <c r="C12" s="13">
        <v>826742</v>
      </c>
      <c r="D12" s="9">
        <v>1110.4000000000001</v>
      </c>
      <c r="E12" s="9">
        <v>188.5</v>
      </c>
      <c r="F12" s="11">
        <v>1.4423999999999999</v>
      </c>
      <c r="G12" s="13">
        <v>3743</v>
      </c>
      <c r="H12" s="13">
        <v>26972</v>
      </c>
      <c r="I12" s="10">
        <v>82</v>
      </c>
      <c r="J12" s="13">
        <v>0</v>
      </c>
      <c r="K12" s="13">
        <v>1425</v>
      </c>
      <c r="L12" s="13">
        <v>1175</v>
      </c>
      <c r="M12" s="13">
        <v>0</v>
      </c>
      <c r="N12" s="13">
        <v>1143</v>
      </c>
      <c r="O12" s="13">
        <v>0</v>
      </c>
      <c r="P12" s="13">
        <v>45</v>
      </c>
      <c r="Q12" s="13">
        <v>486</v>
      </c>
      <c r="R12" s="17">
        <v>24</v>
      </c>
      <c r="S12" s="13">
        <v>12406</v>
      </c>
      <c r="T12" s="13">
        <v>0</v>
      </c>
      <c r="U12" s="18" t="s">
        <v>181</v>
      </c>
      <c r="V12" s="18" t="s">
        <v>56</v>
      </c>
    </row>
    <row r="13" spans="1:22" x14ac:dyDescent="0.25">
      <c r="A13" s="10">
        <v>12</v>
      </c>
      <c r="B13" s="13">
        <v>830459</v>
      </c>
      <c r="C13" s="13">
        <v>830065</v>
      </c>
      <c r="D13" s="9">
        <v>1111.0999999999999</v>
      </c>
      <c r="E13" s="9">
        <v>189.3</v>
      </c>
      <c r="F13" s="11">
        <v>1.4418</v>
      </c>
      <c r="G13" s="13">
        <v>5950</v>
      </c>
      <c r="H13" s="13">
        <v>26501</v>
      </c>
      <c r="I13" s="10">
        <v>81</v>
      </c>
      <c r="J13" s="13">
        <v>1917</v>
      </c>
      <c r="K13" s="13">
        <v>2974</v>
      </c>
      <c r="L13" s="13">
        <v>515</v>
      </c>
      <c r="M13" s="13">
        <v>0</v>
      </c>
      <c r="N13" s="13">
        <v>544</v>
      </c>
      <c r="O13" s="13">
        <v>0</v>
      </c>
      <c r="P13" s="13">
        <v>58</v>
      </c>
      <c r="Q13" s="13">
        <v>586</v>
      </c>
      <c r="R13" s="17">
        <v>24</v>
      </c>
      <c r="S13" s="13">
        <v>12507</v>
      </c>
      <c r="T13" s="13">
        <v>0</v>
      </c>
      <c r="U13" s="18" t="s">
        <v>181</v>
      </c>
      <c r="V13" s="18" t="s">
        <v>56</v>
      </c>
    </row>
    <row r="14" spans="1:22" x14ac:dyDescent="0.25">
      <c r="A14" s="10">
        <v>13</v>
      </c>
      <c r="B14" s="13">
        <v>828217</v>
      </c>
      <c r="C14" s="13">
        <v>827808</v>
      </c>
      <c r="D14" s="9">
        <v>1112</v>
      </c>
      <c r="E14" s="9">
        <v>189.5</v>
      </c>
      <c r="F14" s="11">
        <v>1.4430000000000001</v>
      </c>
      <c r="G14" s="13">
        <v>3454</v>
      </c>
      <c r="H14" s="13">
        <v>26475</v>
      </c>
      <c r="I14" s="10">
        <v>80</v>
      </c>
      <c r="J14" s="13">
        <v>352</v>
      </c>
      <c r="K14" s="13">
        <v>2015</v>
      </c>
      <c r="L14" s="13">
        <v>599</v>
      </c>
      <c r="M14" s="13">
        <v>488</v>
      </c>
      <c r="N14" s="13">
        <v>0</v>
      </c>
      <c r="O14" s="13">
        <v>0</v>
      </c>
      <c r="P14" s="13">
        <v>47</v>
      </c>
      <c r="Q14" s="13">
        <v>629</v>
      </c>
      <c r="R14" s="17">
        <v>24</v>
      </c>
      <c r="S14" s="13">
        <v>12224</v>
      </c>
      <c r="T14" s="13">
        <v>0</v>
      </c>
      <c r="U14" s="18" t="s">
        <v>186</v>
      </c>
      <c r="V14" s="18" t="s">
        <v>187</v>
      </c>
    </row>
    <row r="15" spans="1:22" x14ac:dyDescent="0.25">
      <c r="A15" s="10">
        <v>14</v>
      </c>
      <c r="B15" s="13">
        <v>826736</v>
      </c>
      <c r="C15" s="13">
        <v>826293</v>
      </c>
      <c r="D15" s="9">
        <v>1113.7</v>
      </c>
      <c r="E15" s="9">
        <v>191.9</v>
      </c>
      <c r="F15" s="11">
        <v>1.4419</v>
      </c>
      <c r="G15" s="13">
        <v>11012</v>
      </c>
      <c r="H15" s="13">
        <v>27837</v>
      </c>
      <c r="I15" s="10">
        <v>81</v>
      </c>
      <c r="J15" s="13">
        <v>0</v>
      </c>
      <c r="K15" s="13">
        <v>10709</v>
      </c>
      <c r="L15" s="13">
        <v>76</v>
      </c>
      <c r="M15" s="13">
        <v>34</v>
      </c>
      <c r="N15" s="13">
        <v>193</v>
      </c>
      <c r="O15" s="13">
        <v>0</v>
      </c>
      <c r="P15" s="13">
        <v>56</v>
      </c>
      <c r="Q15" s="13">
        <v>547</v>
      </c>
      <c r="R15" s="17">
        <v>24</v>
      </c>
      <c r="S15" s="13">
        <v>12458</v>
      </c>
      <c r="T15" s="13">
        <v>0</v>
      </c>
      <c r="U15" s="18" t="s">
        <v>181</v>
      </c>
      <c r="V15" s="18" t="s">
        <v>56</v>
      </c>
    </row>
    <row r="16" spans="1:22" x14ac:dyDescent="0.25">
      <c r="A16" s="10">
        <v>15</v>
      </c>
      <c r="B16" s="13">
        <v>827455</v>
      </c>
      <c r="C16" s="13">
        <v>827045</v>
      </c>
      <c r="D16" s="9">
        <v>1107.9000000000001</v>
      </c>
      <c r="E16" s="9">
        <v>186.3</v>
      </c>
      <c r="F16" s="11">
        <v>1.4424999999999999</v>
      </c>
      <c r="G16" s="13">
        <v>3751</v>
      </c>
      <c r="H16" s="13">
        <v>26278</v>
      </c>
      <c r="I16" s="10">
        <v>81</v>
      </c>
      <c r="J16" s="13">
        <v>115</v>
      </c>
      <c r="K16" s="13">
        <v>2873</v>
      </c>
      <c r="L16" s="13">
        <v>654</v>
      </c>
      <c r="M16" s="13">
        <v>98</v>
      </c>
      <c r="N16" s="13">
        <v>11</v>
      </c>
      <c r="O16" s="13">
        <v>0</v>
      </c>
      <c r="P16" s="13">
        <v>35</v>
      </c>
      <c r="Q16" s="13">
        <v>293</v>
      </c>
      <c r="R16" s="17">
        <v>24</v>
      </c>
      <c r="S16" s="13">
        <v>12387</v>
      </c>
      <c r="T16" s="13">
        <v>0</v>
      </c>
      <c r="U16" s="18" t="s">
        <v>182</v>
      </c>
      <c r="V16" s="18" t="s">
        <v>183</v>
      </c>
    </row>
    <row r="17" spans="1:22" x14ac:dyDescent="0.25">
      <c r="A17" s="10">
        <v>16</v>
      </c>
      <c r="B17" s="13">
        <v>828126</v>
      </c>
      <c r="C17" s="13">
        <v>827708</v>
      </c>
      <c r="D17" s="9">
        <v>1107.5</v>
      </c>
      <c r="E17" s="9">
        <v>184.6</v>
      </c>
      <c r="F17" s="11">
        <v>1.4426000000000001</v>
      </c>
      <c r="G17" s="13">
        <v>2602</v>
      </c>
      <c r="H17" s="13">
        <v>26683</v>
      </c>
      <c r="I17" s="10">
        <v>83</v>
      </c>
      <c r="J17" s="13">
        <v>1310</v>
      </c>
      <c r="K17" s="13">
        <v>1214</v>
      </c>
      <c r="L17" s="13">
        <v>78</v>
      </c>
      <c r="M17" s="13">
        <v>0</v>
      </c>
      <c r="N17" s="13">
        <v>0</v>
      </c>
      <c r="O17" s="13">
        <v>0</v>
      </c>
      <c r="P17" s="13">
        <v>39</v>
      </c>
      <c r="Q17" s="13">
        <v>400</v>
      </c>
      <c r="R17" s="17">
        <v>24</v>
      </c>
      <c r="S17" s="13">
        <v>12522</v>
      </c>
      <c r="T17" s="13">
        <v>0</v>
      </c>
      <c r="U17" s="18" t="s">
        <v>181</v>
      </c>
      <c r="V17" s="18" t="s">
        <v>56</v>
      </c>
    </row>
    <row r="18" spans="1:22" x14ac:dyDescent="0.25">
      <c r="A18" s="10">
        <v>17</v>
      </c>
      <c r="B18" s="13">
        <v>826590</v>
      </c>
      <c r="C18" s="13">
        <v>826212</v>
      </c>
      <c r="D18" s="9">
        <v>1111.4000000000001</v>
      </c>
      <c r="E18" s="9">
        <v>188.9</v>
      </c>
      <c r="F18" s="11">
        <v>1.4432</v>
      </c>
      <c r="G18" s="13">
        <v>2239</v>
      </c>
      <c r="H18" s="13">
        <v>26560</v>
      </c>
      <c r="I18" s="10">
        <v>81</v>
      </c>
      <c r="J18" s="13">
        <v>463</v>
      </c>
      <c r="K18" s="13">
        <v>925</v>
      </c>
      <c r="L18" s="13">
        <v>158</v>
      </c>
      <c r="M18" s="13">
        <v>370</v>
      </c>
      <c r="N18" s="13">
        <v>200</v>
      </c>
      <c r="O18" s="13">
        <v>123</v>
      </c>
      <c r="P18" s="13">
        <v>32</v>
      </c>
      <c r="Q18" s="13">
        <v>234</v>
      </c>
      <c r="R18" s="17">
        <v>24</v>
      </c>
      <c r="S18" s="13">
        <v>12260</v>
      </c>
      <c r="T18" s="13">
        <v>0</v>
      </c>
      <c r="U18" s="18" t="s">
        <v>182</v>
      </c>
      <c r="V18" s="18" t="s">
        <v>183</v>
      </c>
    </row>
    <row r="19" spans="1:22" x14ac:dyDescent="0.25">
      <c r="A19" s="10">
        <v>18</v>
      </c>
      <c r="B19" s="13">
        <v>828077</v>
      </c>
      <c r="C19" s="13">
        <v>827603</v>
      </c>
      <c r="D19" s="9">
        <v>1110.9000000000001</v>
      </c>
      <c r="E19" s="9">
        <v>188.7</v>
      </c>
      <c r="F19" s="11">
        <v>1.4436</v>
      </c>
      <c r="G19" s="13">
        <v>5435</v>
      </c>
      <c r="H19" s="13">
        <v>26726</v>
      </c>
      <c r="I19" s="10">
        <v>82</v>
      </c>
      <c r="J19" s="13">
        <v>623</v>
      </c>
      <c r="K19" s="13">
        <v>3570</v>
      </c>
      <c r="L19" s="13">
        <v>726</v>
      </c>
      <c r="M19" s="13">
        <v>404</v>
      </c>
      <c r="N19" s="13">
        <v>0</v>
      </c>
      <c r="O19" s="13">
        <v>112</v>
      </c>
      <c r="P19" s="13">
        <v>43</v>
      </c>
      <c r="Q19" s="13">
        <v>365</v>
      </c>
      <c r="R19" s="17">
        <v>24</v>
      </c>
      <c r="S19" s="13">
        <v>12489</v>
      </c>
      <c r="T19" s="13">
        <v>0</v>
      </c>
      <c r="U19" s="18" t="s">
        <v>182</v>
      </c>
      <c r="V19" s="18" t="s">
        <v>183</v>
      </c>
    </row>
    <row r="20" spans="1:22" x14ac:dyDescent="0.25">
      <c r="A20" s="10">
        <v>19</v>
      </c>
      <c r="B20" s="13">
        <v>826866</v>
      </c>
      <c r="C20" s="13">
        <v>826434</v>
      </c>
      <c r="D20" s="9">
        <v>1112.8</v>
      </c>
      <c r="E20" s="9">
        <v>190.5</v>
      </c>
      <c r="F20" s="11">
        <v>1.4434</v>
      </c>
      <c r="G20" s="13">
        <v>6016</v>
      </c>
      <c r="H20" s="13">
        <v>26598</v>
      </c>
      <c r="I20" s="10">
        <v>84</v>
      </c>
      <c r="J20" s="13">
        <v>572</v>
      </c>
      <c r="K20" s="13">
        <v>2367</v>
      </c>
      <c r="L20" s="13">
        <v>2156</v>
      </c>
      <c r="M20" s="13">
        <v>111</v>
      </c>
      <c r="N20" s="13">
        <v>810</v>
      </c>
      <c r="O20" s="13">
        <v>0</v>
      </c>
      <c r="P20" s="13">
        <v>46</v>
      </c>
      <c r="Q20" s="13">
        <v>449</v>
      </c>
      <c r="R20" s="17">
        <v>24</v>
      </c>
      <c r="S20" s="13">
        <v>12364</v>
      </c>
      <c r="T20" s="13">
        <v>0</v>
      </c>
      <c r="U20" s="18" t="s">
        <v>182</v>
      </c>
      <c r="V20" s="18" t="s">
        <v>183</v>
      </c>
    </row>
    <row r="21" spans="1:22" x14ac:dyDescent="0.25">
      <c r="A21" s="10">
        <v>20</v>
      </c>
      <c r="B21" s="13">
        <v>827715</v>
      </c>
      <c r="C21" s="13">
        <v>827232</v>
      </c>
      <c r="D21" s="9">
        <v>1112.5999999999999</v>
      </c>
      <c r="E21" s="9">
        <v>188.8</v>
      </c>
      <c r="F21" s="11">
        <v>1.444</v>
      </c>
      <c r="G21" s="13">
        <v>3109</v>
      </c>
      <c r="H21" s="13">
        <v>26941</v>
      </c>
      <c r="I21" s="10">
        <v>81</v>
      </c>
      <c r="J21" s="13">
        <v>532</v>
      </c>
      <c r="K21" s="13">
        <v>1230</v>
      </c>
      <c r="L21" s="13">
        <v>65</v>
      </c>
      <c r="M21" s="13">
        <v>335</v>
      </c>
      <c r="N21" s="13">
        <v>745</v>
      </c>
      <c r="O21" s="13">
        <v>202</v>
      </c>
      <c r="P21" s="13">
        <v>40</v>
      </c>
      <c r="Q21" s="13">
        <v>361</v>
      </c>
      <c r="R21" s="17">
        <v>24</v>
      </c>
      <c r="S21" s="13">
        <v>12238</v>
      </c>
      <c r="T21" s="13">
        <v>0</v>
      </c>
      <c r="U21" s="18" t="s">
        <v>182</v>
      </c>
      <c r="V21" s="18" t="s">
        <v>183</v>
      </c>
    </row>
    <row r="22" spans="1:22" x14ac:dyDescent="0.25">
      <c r="A22" s="10">
        <v>21</v>
      </c>
      <c r="B22" s="13">
        <v>826755</v>
      </c>
      <c r="C22" s="13">
        <v>826335</v>
      </c>
      <c r="D22" s="9">
        <v>1115.7</v>
      </c>
      <c r="E22" s="9">
        <v>193.4</v>
      </c>
      <c r="F22" s="11">
        <v>1.4432</v>
      </c>
      <c r="G22" s="13">
        <v>10999</v>
      </c>
      <c r="H22" s="13">
        <v>26938</v>
      </c>
      <c r="I22" s="10">
        <v>80</v>
      </c>
      <c r="J22" s="13">
        <v>1871</v>
      </c>
      <c r="K22" s="13">
        <v>5765</v>
      </c>
      <c r="L22" s="13">
        <v>2645</v>
      </c>
      <c r="M22" s="13">
        <v>538</v>
      </c>
      <c r="N22" s="13">
        <v>180</v>
      </c>
      <c r="O22" s="13">
        <v>0</v>
      </c>
      <c r="P22" s="13">
        <v>39</v>
      </c>
      <c r="Q22" s="13">
        <v>395</v>
      </c>
      <c r="R22" s="17">
        <v>24</v>
      </c>
      <c r="S22" s="13">
        <v>12217</v>
      </c>
      <c r="T22" s="13">
        <v>0</v>
      </c>
      <c r="U22" s="18" t="s">
        <v>181</v>
      </c>
      <c r="V22" s="18" t="s">
        <v>56</v>
      </c>
    </row>
    <row r="23" spans="1:22" x14ac:dyDescent="0.25">
      <c r="A23" s="10">
        <v>22</v>
      </c>
      <c r="B23" s="13">
        <v>828424</v>
      </c>
      <c r="C23" s="13">
        <v>828020</v>
      </c>
      <c r="D23" s="9">
        <v>1109.3</v>
      </c>
      <c r="E23" s="9">
        <v>187</v>
      </c>
      <c r="F23" s="11">
        <v>1.4422999999999999</v>
      </c>
      <c r="G23" s="13">
        <v>2894</v>
      </c>
      <c r="H23" s="13">
        <v>26571</v>
      </c>
      <c r="I23" s="10">
        <v>81</v>
      </c>
      <c r="J23" s="13">
        <v>159</v>
      </c>
      <c r="K23" s="13">
        <v>1647</v>
      </c>
      <c r="L23" s="13">
        <v>1088</v>
      </c>
      <c r="M23" s="13">
        <v>0</v>
      </c>
      <c r="N23" s="13">
        <v>0</v>
      </c>
      <c r="O23" s="13">
        <v>0</v>
      </c>
      <c r="P23" s="13">
        <v>35</v>
      </c>
      <c r="Q23" s="13">
        <v>323</v>
      </c>
      <c r="R23" s="17">
        <v>24</v>
      </c>
      <c r="S23" s="13">
        <v>12476</v>
      </c>
      <c r="T23" s="13">
        <v>0</v>
      </c>
      <c r="U23" s="18" t="s">
        <v>182</v>
      </c>
      <c r="V23" s="18" t="s">
        <v>183</v>
      </c>
    </row>
    <row r="24" spans="1:22" x14ac:dyDescent="0.25">
      <c r="A24" s="10">
        <v>23</v>
      </c>
      <c r="B24" s="13">
        <v>828480</v>
      </c>
      <c r="C24" s="13">
        <v>828110</v>
      </c>
      <c r="D24" s="9">
        <v>1107.8</v>
      </c>
      <c r="E24" s="9">
        <v>185.5</v>
      </c>
      <c r="F24" s="11">
        <v>1.4429000000000001</v>
      </c>
      <c r="G24" s="13">
        <v>4068</v>
      </c>
      <c r="H24" s="13">
        <v>26910</v>
      </c>
      <c r="I24" s="10">
        <v>84</v>
      </c>
      <c r="J24" s="13">
        <v>264</v>
      </c>
      <c r="K24" s="13">
        <v>1106</v>
      </c>
      <c r="L24" s="13">
        <v>2307</v>
      </c>
      <c r="M24" s="13">
        <v>391</v>
      </c>
      <c r="N24" s="13">
        <v>0</v>
      </c>
      <c r="O24" s="13">
        <v>0</v>
      </c>
      <c r="P24" s="13">
        <v>35</v>
      </c>
      <c r="Q24" s="13">
        <v>291</v>
      </c>
      <c r="R24" s="17">
        <v>24</v>
      </c>
      <c r="S24" s="13">
        <v>13068</v>
      </c>
      <c r="T24" s="13">
        <v>0</v>
      </c>
      <c r="U24" s="18" t="s">
        <v>181</v>
      </c>
      <c r="V24" s="18" t="s">
        <v>56</v>
      </c>
    </row>
    <row r="25" spans="1:22" x14ac:dyDescent="0.25">
      <c r="A25" s="10">
        <v>24</v>
      </c>
      <c r="B25" s="13">
        <v>828436</v>
      </c>
      <c r="C25" s="13">
        <v>828001</v>
      </c>
      <c r="D25" s="9">
        <v>1112.0999999999999</v>
      </c>
      <c r="E25" s="9">
        <v>190.2</v>
      </c>
      <c r="F25" s="11">
        <v>1.4423999999999999</v>
      </c>
      <c r="G25" s="13">
        <v>2611</v>
      </c>
      <c r="H25" s="13">
        <v>26727</v>
      </c>
      <c r="I25" s="10">
        <v>80</v>
      </c>
      <c r="J25" s="13">
        <v>1318</v>
      </c>
      <c r="K25" s="13">
        <v>846</v>
      </c>
      <c r="L25" s="13">
        <v>379</v>
      </c>
      <c r="M25" s="13">
        <v>68</v>
      </c>
      <c r="N25" s="13">
        <v>0</v>
      </c>
      <c r="O25" s="13">
        <v>0</v>
      </c>
      <c r="P25" s="13">
        <v>50</v>
      </c>
      <c r="Q25" s="13">
        <v>443</v>
      </c>
      <c r="R25" s="17">
        <v>24</v>
      </c>
      <c r="S25" s="13">
        <v>12536</v>
      </c>
      <c r="T25" s="13">
        <v>0</v>
      </c>
      <c r="U25" s="18" t="s">
        <v>182</v>
      </c>
      <c r="V25" s="18" t="s">
        <v>183</v>
      </c>
    </row>
    <row r="26" spans="1:22" x14ac:dyDescent="0.25">
      <c r="A26" s="10">
        <v>25</v>
      </c>
      <c r="B26" s="13">
        <v>826785</v>
      </c>
      <c r="C26" s="13">
        <v>826363</v>
      </c>
      <c r="D26" s="9">
        <v>1112</v>
      </c>
      <c r="E26" s="9">
        <v>189.4</v>
      </c>
      <c r="F26" s="11">
        <v>1.4430000000000001</v>
      </c>
      <c r="G26" s="13">
        <v>11208</v>
      </c>
      <c r="H26" s="13">
        <v>27141</v>
      </c>
      <c r="I26" s="10">
        <v>81</v>
      </c>
      <c r="J26" s="13">
        <v>251</v>
      </c>
      <c r="K26" s="13">
        <v>10758</v>
      </c>
      <c r="L26" s="13">
        <v>199</v>
      </c>
      <c r="M26" s="13">
        <v>0</v>
      </c>
      <c r="N26" s="13">
        <v>0</v>
      </c>
      <c r="O26" s="13">
        <v>0</v>
      </c>
      <c r="P26" s="13">
        <v>45</v>
      </c>
      <c r="Q26" s="13">
        <v>413</v>
      </c>
      <c r="R26" s="17">
        <v>24</v>
      </c>
      <c r="S26" s="13">
        <v>12530</v>
      </c>
      <c r="T26" s="13">
        <v>0</v>
      </c>
      <c r="U26" s="18" t="s">
        <v>181</v>
      </c>
      <c r="V26" s="18" t="s">
        <v>56</v>
      </c>
    </row>
    <row r="27" spans="1:22" x14ac:dyDescent="0.25">
      <c r="A27" s="10">
        <v>26</v>
      </c>
      <c r="B27" s="13">
        <v>827564</v>
      </c>
      <c r="C27" s="13">
        <v>827151</v>
      </c>
      <c r="D27" s="9">
        <v>1114.3</v>
      </c>
      <c r="E27" s="9">
        <v>191.3</v>
      </c>
      <c r="F27" s="11">
        <v>1.4427000000000001</v>
      </c>
      <c r="G27" s="13">
        <v>10608</v>
      </c>
      <c r="H27" s="13">
        <v>26610</v>
      </c>
      <c r="I27" s="10">
        <v>81</v>
      </c>
      <c r="J27" s="13">
        <v>492</v>
      </c>
      <c r="K27" s="13">
        <v>8885</v>
      </c>
      <c r="L27" s="13">
        <v>970</v>
      </c>
      <c r="M27" s="13">
        <v>85</v>
      </c>
      <c r="N27" s="13">
        <v>176</v>
      </c>
      <c r="O27" s="13">
        <v>0</v>
      </c>
      <c r="P27" s="13">
        <v>47</v>
      </c>
      <c r="Q27" s="13">
        <v>413</v>
      </c>
      <c r="R27" s="17">
        <v>24</v>
      </c>
      <c r="S27" s="13">
        <v>13085</v>
      </c>
      <c r="T27" s="13">
        <v>0</v>
      </c>
      <c r="U27" s="18" t="s">
        <v>181</v>
      </c>
      <c r="V27" s="18" t="s">
        <v>56</v>
      </c>
    </row>
    <row r="28" spans="1:22" x14ac:dyDescent="0.25">
      <c r="A28" s="10">
        <v>27</v>
      </c>
      <c r="B28" s="13">
        <v>827086</v>
      </c>
      <c r="C28" s="13">
        <v>826661</v>
      </c>
      <c r="D28" s="9">
        <v>1110.9000000000001</v>
      </c>
      <c r="E28" s="9">
        <v>188.5</v>
      </c>
      <c r="F28" s="11">
        <v>1.4427000000000001</v>
      </c>
      <c r="G28" s="13">
        <v>5132</v>
      </c>
      <c r="H28" s="13">
        <v>26997</v>
      </c>
      <c r="I28" s="10">
        <v>81</v>
      </c>
      <c r="J28" s="13">
        <v>366</v>
      </c>
      <c r="K28" s="13">
        <v>4102</v>
      </c>
      <c r="L28" s="13">
        <v>455</v>
      </c>
      <c r="M28" s="13">
        <v>209</v>
      </c>
      <c r="N28" s="13">
        <v>0</v>
      </c>
      <c r="O28" s="13">
        <v>0</v>
      </c>
      <c r="P28" s="13">
        <v>32</v>
      </c>
      <c r="Q28" s="13">
        <v>249</v>
      </c>
      <c r="R28" s="17">
        <v>24</v>
      </c>
      <c r="S28" s="13">
        <v>12238</v>
      </c>
      <c r="T28" s="13">
        <v>0</v>
      </c>
      <c r="U28" s="18" t="s">
        <v>188</v>
      </c>
      <c r="V28" s="18" t="s">
        <v>189</v>
      </c>
    </row>
    <row r="29" spans="1:22" x14ac:dyDescent="0.25">
      <c r="A29" s="10">
        <v>28</v>
      </c>
      <c r="B29" s="13">
        <v>827677</v>
      </c>
      <c r="C29" s="13">
        <v>827246</v>
      </c>
      <c r="D29" s="9">
        <v>1113.5999999999999</v>
      </c>
      <c r="E29" s="9">
        <v>190.8</v>
      </c>
      <c r="F29" s="11">
        <v>1.4435</v>
      </c>
      <c r="G29" s="13">
        <v>4272</v>
      </c>
      <c r="H29" s="13">
        <v>26735</v>
      </c>
      <c r="I29" s="10">
        <v>83</v>
      </c>
      <c r="J29" s="13">
        <v>203</v>
      </c>
      <c r="K29" s="13">
        <v>2998</v>
      </c>
      <c r="L29" s="13">
        <v>429</v>
      </c>
      <c r="M29" s="13">
        <v>541</v>
      </c>
      <c r="N29" s="13">
        <v>0</v>
      </c>
      <c r="O29" s="13">
        <v>101</v>
      </c>
      <c r="P29" s="13">
        <v>39</v>
      </c>
      <c r="Q29" s="13">
        <v>341</v>
      </c>
      <c r="R29" s="17">
        <v>24</v>
      </c>
      <c r="S29" s="13">
        <v>13139</v>
      </c>
      <c r="T29" s="13">
        <v>0</v>
      </c>
      <c r="U29" s="18" t="s">
        <v>181</v>
      </c>
      <c r="V29" s="18" t="s">
        <v>56</v>
      </c>
    </row>
    <row r="30" spans="1:22" x14ac:dyDescent="0.25">
      <c r="A30" s="10">
        <v>29</v>
      </c>
      <c r="B30" s="13">
        <v>828155</v>
      </c>
      <c r="C30" s="13">
        <v>827747</v>
      </c>
      <c r="D30" s="9">
        <v>1116.5</v>
      </c>
      <c r="E30" s="9">
        <v>194</v>
      </c>
      <c r="F30" s="11">
        <v>1.4432</v>
      </c>
      <c r="G30" s="13">
        <v>10544</v>
      </c>
      <c r="H30" s="13">
        <v>27739</v>
      </c>
      <c r="I30" s="10">
        <v>83</v>
      </c>
      <c r="J30" s="13">
        <v>54</v>
      </c>
      <c r="K30" s="13">
        <v>7886</v>
      </c>
      <c r="L30" s="13">
        <v>770</v>
      </c>
      <c r="M30" s="13">
        <v>321</v>
      </c>
      <c r="N30" s="13">
        <v>1461</v>
      </c>
      <c r="O30" s="13">
        <v>52</v>
      </c>
      <c r="P30" s="13">
        <v>38</v>
      </c>
      <c r="Q30" s="13">
        <v>328</v>
      </c>
      <c r="R30" s="17">
        <v>24</v>
      </c>
      <c r="S30" s="13">
        <v>12607</v>
      </c>
      <c r="T30" s="13">
        <v>0</v>
      </c>
      <c r="U30" s="18" t="s">
        <v>181</v>
      </c>
      <c r="V30" s="18" t="s">
        <v>56</v>
      </c>
    </row>
    <row r="31" spans="1:22" x14ac:dyDescent="0.25">
      <c r="A31" s="10">
        <v>30</v>
      </c>
      <c r="B31" s="13">
        <v>826732</v>
      </c>
      <c r="C31" s="13">
        <v>826317</v>
      </c>
      <c r="D31" s="9">
        <v>1110.2</v>
      </c>
      <c r="E31" s="9">
        <v>187.5</v>
      </c>
      <c r="F31" s="11">
        <v>1.4428000000000001</v>
      </c>
      <c r="G31" s="13">
        <v>4622</v>
      </c>
      <c r="H31" s="13">
        <v>26275</v>
      </c>
      <c r="I31" s="10">
        <v>82</v>
      </c>
      <c r="J31" s="13">
        <v>21</v>
      </c>
      <c r="K31" s="13">
        <v>2121</v>
      </c>
      <c r="L31" s="13">
        <v>1911</v>
      </c>
      <c r="M31" s="13">
        <v>0</v>
      </c>
      <c r="N31" s="13">
        <v>569</v>
      </c>
      <c r="O31" s="13">
        <v>0</v>
      </c>
      <c r="P31" s="13">
        <v>51</v>
      </c>
      <c r="Q31" s="13">
        <v>459</v>
      </c>
      <c r="R31" s="17">
        <v>24</v>
      </c>
      <c r="S31" s="13">
        <v>12657</v>
      </c>
      <c r="T31" s="13">
        <v>0</v>
      </c>
      <c r="U31" s="18" t="s">
        <v>182</v>
      </c>
      <c r="V31" s="18" t="s">
        <v>183</v>
      </c>
    </row>
    <row r="32" spans="1:22" x14ac:dyDescent="0.25">
      <c r="A32" s="10">
        <v>31</v>
      </c>
      <c r="B32" s="13">
        <v>829079</v>
      </c>
      <c r="C32" s="13">
        <v>828668</v>
      </c>
      <c r="D32" s="9">
        <v>1111</v>
      </c>
      <c r="E32" s="9">
        <v>187.9</v>
      </c>
      <c r="F32" s="11">
        <v>1.4423999999999999</v>
      </c>
      <c r="G32" s="13">
        <v>2770</v>
      </c>
      <c r="H32" s="13">
        <v>26491</v>
      </c>
      <c r="I32" s="10">
        <v>81</v>
      </c>
      <c r="J32" s="13">
        <v>178</v>
      </c>
      <c r="K32" s="13">
        <v>1491</v>
      </c>
      <c r="L32" s="13">
        <v>838</v>
      </c>
      <c r="M32" s="13">
        <v>255</v>
      </c>
      <c r="N32" s="13">
        <v>8</v>
      </c>
      <c r="O32" s="13">
        <v>0</v>
      </c>
      <c r="P32" s="13">
        <v>45</v>
      </c>
      <c r="Q32" s="13">
        <v>395</v>
      </c>
      <c r="R32" s="17">
        <v>24</v>
      </c>
      <c r="S32" s="13">
        <v>12713</v>
      </c>
      <c r="T32" s="13">
        <v>0</v>
      </c>
      <c r="U32" s="18" t="s">
        <v>181</v>
      </c>
      <c r="V32" s="18" t="s">
        <v>56</v>
      </c>
    </row>
    <row r="33" spans="1:22" x14ac:dyDescent="0.25">
      <c r="A33" s="10">
        <v>32</v>
      </c>
      <c r="B33" s="13">
        <v>828075</v>
      </c>
      <c r="C33" s="13">
        <v>827583</v>
      </c>
      <c r="D33" s="9">
        <v>1109.7</v>
      </c>
      <c r="E33" s="9">
        <v>186.6</v>
      </c>
      <c r="F33" s="11">
        <v>1.4426000000000001</v>
      </c>
      <c r="G33" s="13">
        <v>1795</v>
      </c>
      <c r="H33" s="13">
        <v>26703</v>
      </c>
      <c r="I33" s="10">
        <v>81</v>
      </c>
      <c r="J33" s="13">
        <v>306</v>
      </c>
      <c r="K33" s="13">
        <v>578</v>
      </c>
      <c r="L33" s="13">
        <v>176</v>
      </c>
      <c r="M33" s="13">
        <v>141</v>
      </c>
      <c r="N33" s="13">
        <v>594</v>
      </c>
      <c r="O33" s="13">
        <v>0</v>
      </c>
      <c r="P33" s="13">
        <v>40</v>
      </c>
      <c r="Q33" s="13">
        <v>293</v>
      </c>
      <c r="R33" s="17">
        <v>24</v>
      </c>
      <c r="S33" s="13">
        <v>12241</v>
      </c>
      <c r="T33" s="13">
        <v>0</v>
      </c>
      <c r="U33" s="18" t="s">
        <v>181</v>
      </c>
      <c r="V33" s="18" t="s">
        <v>56</v>
      </c>
    </row>
    <row r="34" spans="1:22" x14ac:dyDescent="0.25">
      <c r="A34" s="10">
        <v>33</v>
      </c>
      <c r="B34" s="13">
        <v>827204</v>
      </c>
      <c r="C34" s="13">
        <v>826757</v>
      </c>
      <c r="D34" s="9">
        <v>1110.7</v>
      </c>
      <c r="E34" s="9">
        <v>188.4</v>
      </c>
      <c r="F34" s="11">
        <v>1.4419999999999999</v>
      </c>
      <c r="G34" s="13">
        <v>3711</v>
      </c>
      <c r="H34" s="13">
        <v>26982</v>
      </c>
      <c r="I34" s="10">
        <v>82</v>
      </c>
      <c r="J34" s="13">
        <v>230</v>
      </c>
      <c r="K34" s="13">
        <v>1410</v>
      </c>
      <c r="L34" s="13">
        <v>1134</v>
      </c>
      <c r="M34" s="13">
        <v>615</v>
      </c>
      <c r="N34" s="13">
        <v>322</v>
      </c>
      <c r="O34" s="13">
        <v>0</v>
      </c>
      <c r="P34" s="13">
        <v>41</v>
      </c>
      <c r="Q34" s="13">
        <v>435</v>
      </c>
      <c r="R34" s="17">
        <v>24</v>
      </c>
      <c r="S34" s="13">
        <v>13058</v>
      </c>
      <c r="T34" s="13">
        <v>0</v>
      </c>
      <c r="U34" s="18" t="s">
        <v>181</v>
      </c>
      <c r="V34" s="18" t="s">
        <v>56</v>
      </c>
    </row>
    <row r="35" spans="1:22" x14ac:dyDescent="0.25">
      <c r="A35" s="10">
        <v>34</v>
      </c>
      <c r="B35" s="13">
        <v>826833</v>
      </c>
      <c r="C35" s="13">
        <v>826352</v>
      </c>
      <c r="D35" s="9">
        <v>1110</v>
      </c>
      <c r="E35" s="9">
        <v>187.7</v>
      </c>
      <c r="F35" s="11">
        <v>1.4423999999999999</v>
      </c>
      <c r="G35" s="13">
        <v>2958</v>
      </c>
      <c r="H35" s="13">
        <v>26715</v>
      </c>
      <c r="I35" s="10">
        <v>80</v>
      </c>
      <c r="J35" s="13">
        <v>198</v>
      </c>
      <c r="K35" s="13">
        <v>2259</v>
      </c>
      <c r="L35" s="13">
        <v>500</v>
      </c>
      <c r="M35" s="13">
        <v>0</v>
      </c>
      <c r="N35" s="13">
        <v>1</v>
      </c>
      <c r="O35" s="13">
        <v>0</v>
      </c>
      <c r="P35" s="13">
        <v>31</v>
      </c>
      <c r="Q35" s="13">
        <v>269</v>
      </c>
      <c r="R35" s="17">
        <v>24</v>
      </c>
      <c r="S35" s="13">
        <v>12430</v>
      </c>
      <c r="T35" s="13">
        <v>0</v>
      </c>
      <c r="U35" s="18" t="s">
        <v>181</v>
      </c>
      <c r="V35" s="18" t="s">
        <v>56</v>
      </c>
    </row>
    <row r="36" spans="1:22" x14ac:dyDescent="0.25">
      <c r="A36" s="10">
        <v>35</v>
      </c>
      <c r="B36" s="13">
        <v>827151</v>
      </c>
      <c r="C36" s="13">
        <v>826789</v>
      </c>
      <c r="D36" s="9">
        <v>1113.5</v>
      </c>
      <c r="E36" s="9">
        <v>191.1</v>
      </c>
      <c r="F36" s="11">
        <v>1.4432</v>
      </c>
      <c r="G36" s="13">
        <v>6994</v>
      </c>
      <c r="H36" s="13">
        <v>26578</v>
      </c>
      <c r="I36" s="10">
        <v>81</v>
      </c>
      <c r="J36" s="13">
        <v>153</v>
      </c>
      <c r="K36" s="13">
        <v>1228</v>
      </c>
      <c r="L36" s="13">
        <v>4456</v>
      </c>
      <c r="M36" s="13">
        <v>953</v>
      </c>
      <c r="N36" s="13">
        <v>204</v>
      </c>
      <c r="O36" s="13">
        <v>0</v>
      </c>
      <c r="P36" s="13">
        <v>24</v>
      </c>
      <c r="Q36" s="13">
        <v>168</v>
      </c>
      <c r="R36" s="17">
        <v>24</v>
      </c>
      <c r="S36" s="13">
        <v>12607</v>
      </c>
      <c r="T36" s="13">
        <v>0</v>
      </c>
      <c r="U36" s="18" t="s">
        <v>181</v>
      </c>
      <c r="V36" s="18" t="s">
        <v>56</v>
      </c>
    </row>
    <row r="37" spans="1:22" x14ac:dyDescent="0.25">
      <c r="A37" s="10">
        <v>36</v>
      </c>
      <c r="B37" s="13">
        <v>827429</v>
      </c>
      <c r="C37" s="13">
        <v>827050</v>
      </c>
      <c r="D37" s="9">
        <v>1110.5</v>
      </c>
      <c r="E37" s="9">
        <v>188.3</v>
      </c>
      <c r="F37" s="11">
        <v>1.4429000000000001</v>
      </c>
      <c r="G37" s="13">
        <v>5963</v>
      </c>
      <c r="H37" s="13">
        <v>26665</v>
      </c>
      <c r="I37" s="10">
        <v>80</v>
      </c>
      <c r="J37" s="13">
        <v>809</v>
      </c>
      <c r="K37" s="13">
        <v>3425</v>
      </c>
      <c r="L37" s="13">
        <v>541</v>
      </c>
      <c r="M37" s="13">
        <v>341</v>
      </c>
      <c r="N37" s="13">
        <v>847</v>
      </c>
      <c r="O37" s="13">
        <v>0</v>
      </c>
      <c r="P37" s="13">
        <v>40</v>
      </c>
      <c r="Q37" s="13">
        <v>337</v>
      </c>
      <c r="R37" s="17">
        <v>24</v>
      </c>
      <c r="S37" s="13">
        <v>12036</v>
      </c>
      <c r="T37" s="13">
        <v>0</v>
      </c>
      <c r="U37" s="18" t="s">
        <v>181</v>
      </c>
      <c r="V37" s="18" t="s">
        <v>56</v>
      </c>
    </row>
    <row r="38" spans="1:22" x14ac:dyDescent="0.25">
      <c r="A38" s="10">
        <v>37</v>
      </c>
      <c r="B38" s="13">
        <v>828899</v>
      </c>
      <c r="C38" s="13">
        <v>828451</v>
      </c>
      <c r="D38" s="9">
        <v>1107.5999999999999</v>
      </c>
      <c r="E38" s="9">
        <v>185.4</v>
      </c>
      <c r="F38" s="11">
        <v>1.4424999999999999</v>
      </c>
      <c r="G38" s="13">
        <v>1710</v>
      </c>
      <c r="H38" s="13">
        <v>26821</v>
      </c>
      <c r="I38" s="10">
        <v>83</v>
      </c>
      <c r="J38" s="13">
        <v>12</v>
      </c>
      <c r="K38" s="13">
        <v>1439</v>
      </c>
      <c r="L38" s="13">
        <v>132</v>
      </c>
      <c r="M38" s="13">
        <v>127</v>
      </c>
      <c r="N38" s="13">
        <v>0</v>
      </c>
      <c r="O38" s="13">
        <v>0</v>
      </c>
      <c r="P38" s="13">
        <v>50</v>
      </c>
      <c r="Q38" s="13">
        <v>497</v>
      </c>
      <c r="R38" s="17">
        <v>24</v>
      </c>
      <c r="S38" s="13">
        <v>12345</v>
      </c>
      <c r="T38" s="13">
        <v>0</v>
      </c>
      <c r="U38" s="18" t="s">
        <v>181</v>
      </c>
      <c r="V38" s="18" t="s">
        <v>56</v>
      </c>
    </row>
    <row r="39" spans="1:22" x14ac:dyDescent="0.25">
      <c r="A39" s="10">
        <v>38</v>
      </c>
      <c r="B39" s="13">
        <v>826506</v>
      </c>
      <c r="C39" s="13">
        <v>826109</v>
      </c>
      <c r="D39" s="9">
        <v>1109.2</v>
      </c>
      <c r="E39" s="9">
        <v>186.3</v>
      </c>
      <c r="F39" s="11">
        <v>1.4431</v>
      </c>
      <c r="G39" s="13">
        <v>3372</v>
      </c>
      <c r="H39" s="13">
        <v>26444</v>
      </c>
      <c r="I39" s="10">
        <v>82</v>
      </c>
      <c r="J39" s="13">
        <v>458</v>
      </c>
      <c r="K39" s="13">
        <v>2672</v>
      </c>
      <c r="L39" s="13">
        <v>104</v>
      </c>
      <c r="M39" s="13">
        <v>110</v>
      </c>
      <c r="N39" s="13">
        <v>0</v>
      </c>
      <c r="O39" s="13">
        <v>28</v>
      </c>
      <c r="P39" s="13">
        <v>30</v>
      </c>
      <c r="Q39" s="13">
        <v>275</v>
      </c>
      <c r="R39" s="17">
        <v>24</v>
      </c>
      <c r="S39" s="13">
        <v>12149</v>
      </c>
      <c r="T39" s="13">
        <v>0</v>
      </c>
      <c r="U39" s="18" t="s">
        <v>181</v>
      </c>
      <c r="V39" s="18" t="s">
        <v>56</v>
      </c>
    </row>
    <row r="40" spans="1:22" x14ac:dyDescent="0.25">
      <c r="A40" s="10">
        <v>39</v>
      </c>
      <c r="B40" s="13">
        <v>827371</v>
      </c>
      <c r="C40" s="13">
        <v>826956</v>
      </c>
      <c r="D40" s="9">
        <v>1105.5</v>
      </c>
      <c r="E40" s="9">
        <v>183.7</v>
      </c>
      <c r="F40" s="11">
        <v>1.4415</v>
      </c>
      <c r="G40" s="13">
        <v>2478</v>
      </c>
      <c r="H40" s="13">
        <v>26591</v>
      </c>
      <c r="I40" s="10">
        <v>82</v>
      </c>
      <c r="J40" s="13">
        <v>168</v>
      </c>
      <c r="K40" s="13">
        <v>2004</v>
      </c>
      <c r="L40" s="13">
        <v>306</v>
      </c>
      <c r="M40" s="13">
        <v>0</v>
      </c>
      <c r="N40" s="13">
        <v>0</v>
      </c>
      <c r="O40" s="13">
        <v>0</v>
      </c>
      <c r="P40" s="13">
        <v>47</v>
      </c>
      <c r="Q40" s="13">
        <v>407</v>
      </c>
      <c r="R40" s="17">
        <v>24</v>
      </c>
      <c r="S40" s="13">
        <v>12536</v>
      </c>
      <c r="T40" s="13">
        <v>0</v>
      </c>
      <c r="U40" s="18" t="s">
        <v>181</v>
      </c>
      <c r="V40" s="18" t="s">
        <v>56</v>
      </c>
    </row>
    <row r="41" spans="1:22" x14ac:dyDescent="0.25">
      <c r="A41" s="10">
        <v>40</v>
      </c>
      <c r="B41" s="13">
        <v>827171</v>
      </c>
      <c r="C41" s="13">
        <v>826746</v>
      </c>
      <c r="D41" s="9">
        <v>1112</v>
      </c>
      <c r="E41" s="9">
        <v>190.3</v>
      </c>
      <c r="F41" s="11">
        <v>1.4431</v>
      </c>
      <c r="G41" s="13">
        <v>4975</v>
      </c>
      <c r="H41" s="13">
        <v>27020</v>
      </c>
      <c r="I41" s="10">
        <v>82</v>
      </c>
      <c r="J41" s="13">
        <v>0</v>
      </c>
      <c r="K41" s="13">
        <v>4408</v>
      </c>
      <c r="L41" s="13">
        <v>111</v>
      </c>
      <c r="M41" s="13">
        <v>0</v>
      </c>
      <c r="N41" s="13">
        <v>456</v>
      </c>
      <c r="O41" s="13">
        <v>0</v>
      </c>
      <c r="P41" s="13">
        <v>36</v>
      </c>
      <c r="Q41" s="13">
        <v>309</v>
      </c>
      <c r="R41" s="17">
        <v>24</v>
      </c>
      <c r="S41" s="13">
        <v>12568</v>
      </c>
      <c r="T41" s="13">
        <v>0</v>
      </c>
      <c r="U41" s="18" t="s">
        <v>182</v>
      </c>
      <c r="V41" s="18" t="s">
        <v>183</v>
      </c>
    </row>
    <row r="42" spans="1:22" x14ac:dyDescent="0.25">
      <c r="A42" s="10">
        <v>41</v>
      </c>
      <c r="B42" s="13">
        <v>827933</v>
      </c>
      <c r="C42" s="13">
        <v>827515</v>
      </c>
      <c r="D42" s="9">
        <v>1110.0999999999999</v>
      </c>
      <c r="E42" s="9">
        <v>187.5</v>
      </c>
      <c r="F42" s="11">
        <v>1.4409000000000001</v>
      </c>
      <c r="G42" s="13">
        <v>3805</v>
      </c>
      <c r="H42" s="13">
        <v>26890</v>
      </c>
      <c r="I42" s="10">
        <v>81</v>
      </c>
      <c r="J42" s="13">
        <v>134</v>
      </c>
      <c r="K42" s="13">
        <v>3447</v>
      </c>
      <c r="L42" s="13">
        <v>224</v>
      </c>
      <c r="M42" s="13">
        <v>0</v>
      </c>
      <c r="N42" s="13">
        <v>0</v>
      </c>
      <c r="O42" s="13">
        <v>0</v>
      </c>
      <c r="P42" s="13">
        <v>55</v>
      </c>
      <c r="Q42" s="13">
        <v>516</v>
      </c>
      <c r="R42" s="17">
        <v>24</v>
      </c>
      <c r="S42" s="13">
        <v>12528</v>
      </c>
      <c r="T42" s="13">
        <v>0</v>
      </c>
      <c r="U42" s="18" t="s">
        <v>181</v>
      </c>
      <c r="V42" s="18" t="s">
        <v>56</v>
      </c>
    </row>
    <row r="43" spans="1:22" x14ac:dyDescent="0.25">
      <c r="A43" s="10">
        <v>42</v>
      </c>
      <c r="B43" s="13">
        <v>826000</v>
      </c>
      <c r="C43" s="13">
        <v>825585</v>
      </c>
      <c r="D43" s="9">
        <v>1109</v>
      </c>
      <c r="E43" s="9">
        <v>187.1</v>
      </c>
      <c r="F43" s="11">
        <v>1.4421999999999999</v>
      </c>
      <c r="G43" s="13">
        <v>2431</v>
      </c>
      <c r="H43" s="13">
        <v>26423</v>
      </c>
      <c r="I43" s="10">
        <v>80</v>
      </c>
      <c r="J43" s="13">
        <v>324</v>
      </c>
      <c r="K43" s="13">
        <v>1897</v>
      </c>
      <c r="L43" s="13">
        <v>140</v>
      </c>
      <c r="M43" s="13">
        <v>70</v>
      </c>
      <c r="N43" s="13">
        <v>0</v>
      </c>
      <c r="O43" s="13">
        <v>0</v>
      </c>
      <c r="P43" s="13">
        <v>40</v>
      </c>
      <c r="Q43" s="13">
        <v>413</v>
      </c>
      <c r="R43" s="17">
        <v>24</v>
      </c>
      <c r="S43" s="13">
        <v>12472</v>
      </c>
      <c r="T43" s="13">
        <v>0</v>
      </c>
      <c r="U43" s="18" t="s">
        <v>181</v>
      </c>
      <c r="V43" s="18" t="s">
        <v>56</v>
      </c>
    </row>
    <row r="44" spans="1:22" x14ac:dyDescent="0.25">
      <c r="A44" s="10">
        <v>43</v>
      </c>
      <c r="B44" s="13">
        <v>827627</v>
      </c>
      <c r="C44" s="13">
        <v>827233</v>
      </c>
      <c r="D44" s="9">
        <v>1108.3</v>
      </c>
      <c r="E44" s="9">
        <v>186.5</v>
      </c>
      <c r="F44" s="11">
        <v>1.4430000000000001</v>
      </c>
      <c r="G44" s="13">
        <v>2868</v>
      </c>
      <c r="H44" s="13">
        <v>26857</v>
      </c>
      <c r="I44" s="10">
        <v>84</v>
      </c>
      <c r="J44" s="13">
        <v>0</v>
      </c>
      <c r="K44" s="13">
        <v>1158</v>
      </c>
      <c r="L44" s="13">
        <v>1023</v>
      </c>
      <c r="M44" s="13">
        <v>361</v>
      </c>
      <c r="N44" s="13">
        <v>326</v>
      </c>
      <c r="O44" s="13">
        <v>0</v>
      </c>
      <c r="P44" s="13">
        <v>45</v>
      </c>
      <c r="Q44" s="13">
        <v>421</v>
      </c>
      <c r="R44" s="17">
        <v>24</v>
      </c>
      <c r="S44" s="13">
        <v>12451</v>
      </c>
      <c r="T44" s="13">
        <v>0</v>
      </c>
      <c r="U44" s="18" t="s">
        <v>181</v>
      </c>
      <c r="V44" s="18" t="s">
        <v>56</v>
      </c>
    </row>
    <row r="45" spans="1:22" x14ac:dyDescent="0.25">
      <c r="A45" s="10">
        <v>44</v>
      </c>
      <c r="B45" s="13">
        <v>827251</v>
      </c>
      <c r="C45" s="13">
        <v>826786</v>
      </c>
      <c r="D45" s="9">
        <v>1109.0999999999999</v>
      </c>
      <c r="E45" s="9">
        <v>186.7</v>
      </c>
      <c r="F45" s="11">
        <v>1.4426000000000001</v>
      </c>
      <c r="G45" s="13">
        <v>3792</v>
      </c>
      <c r="H45" s="13">
        <v>26699</v>
      </c>
      <c r="I45" s="10">
        <v>82</v>
      </c>
      <c r="J45" s="13">
        <v>0</v>
      </c>
      <c r="K45" s="13">
        <v>3498</v>
      </c>
      <c r="L45" s="13">
        <v>294</v>
      </c>
      <c r="M45" s="13">
        <v>0</v>
      </c>
      <c r="N45" s="13">
        <v>0</v>
      </c>
      <c r="O45" s="13">
        <v>0</v>
      </c>
      <c r="P45" s="13">
        <v>50</v>
      </c>
      <c r="Q45" s="13">
        <v>481</v>
      </c>
      <c r="R45" s="17">
        <v>24</v>
      </c>
      <c r="S45" s="13">
        <v>12530</v>
      </c>
      <c r="T45" s="13">
        <v>0</v>
      </c>
      <c r="U45" s="18" t="s">
        <v>181</v>
      </c>
      <c r="V45" s="18" t="s">
        <v>56</v>
      </c>
    </row>
    <row r="46" spans="1:22" x14ac:dyDescent="0.25">
      <c r="A46" s="10">
        <v>45</v>
      </c>
      <c r="B46" s="13">
        <v>828532</v>
      </c>
      <c r="C46" s="13">
        <v>828133</v>
      </c>
      <c r="D46" s="9">
        <v>1109.7</v>
      </c>
      <c r="E46" s="9">
        <v>187</v>
      </c>
      <c r="F46" s="11">
        <v>1.4433</v>
      </c>
      <c r="G46" s="13">
        <v>3592</v>
      </c>
      <c r="H46" s="13">
        <v>26765</v>
      </c>
      <c r="I46" s="10">
        <v>83</v>
      </c>
      <c r="J46" s="13">
        <v>161</v>
      </c>
      <c r="K46" s="13">
        <v>3079</v>
      </c>
      <c r="L46" s="13">
        <v>343</v>
      </c>
      <c r="M46" s="13">
        <v>0</v>
      </c>
      <c r="N46" s="13">
        <v>0</v>
      </c>
      <c r="O46" s="13">
        <v>9</v>
      </c>
      <c r="P46" s="13">
        <v>31</v>
      </c>
      <c r="Q46" s="13">
        <v>303</v>
      </c>
      <c r="R46" s="17">
        <v>24</v>
      </c>
      <c r="S46" s="13">
        <v>12408</v>
      </c>
      <c r="T46" s="13">
        <v>0</v>
      </c>
      <c r="U46" s="18" t="s">
        <v>181</v>
      </c>
      <c r="V46" s="18" t="s">
        <v>56</v>
      </c>
    </row>
    <row r="47" spans="1:22" x14ac:dyDescent="0.25">
      <c r="A47" s="10">
        <v>46</v>
      </c>
      <c r="B47" s="13">
        <v>826672</v>
      </c>
      <c r="C47" s="13">
        <v>826266</v>
      </c>
      <c r="D47" s="9">
        <v>1108.0999999999999</v>
      </c>
      <c r="E47" s="9">
        <v>185.8</v>
      </c>
      <c r="F47" s="11">
        <v>1.4428000000000001</v>
      </c>
      <c r="G47" s="13">
        <v>2006</v>
      </c>
      <c r="H47" s="13">
        <v>26249</v>
      </c>
      <c r="I47" s="10">
        <v>82</v>
      </c>
      <c r="J47" s="13">
        <v>22</v>
      </c>
      <c r="K47" s="13">
        <v>1867</v>
      </c>
      <c r="L47" s="13">
        <v>117</v>
      </c>
      <c r="M47" s="13">
        <v>0</v>
      </c>
      <c r="N47" s="13">
        <v>0</v>
      </c>
      <c r="O47" s="13">
        <v>0</v>
      </c>
      <c r="P47" s="13">
        <v>36</v>
      </c>
      <c r="Q47" s="13">
        <v>416</v>
      </c>
      <c r="R47" s="17">
        <v>24</v>
      </c>
      <c r="S47" s="13">
        <v>12409</v>
      </c>
      <c r="T47" s="13">
        <v>0</v>
      </c>
      <c r="U47" s="18" t="s">
        <v>182</v>
      </c>
      <c r="V47" s="18" t="s">
        <v>183</v>
      </c>
    </row>
    <row r="48" spans="1:22" x14ac:dyDescent="0.25">
      <c r="A48" s="10">
        <v>47</v>
      </c>
      <c r="B48" s="13">
        <v>825962</v>
      </c>
      <c r="C48" s="13">
        <v>825555</v>
      </c>
      <c r="D48" s="9">
        <v>1110.8</v>
      </c>
      <c r="E48" s="9">
        <v>188.3</v>
      </c>
      <c r="F48" s="11">
        <v>1.4433</v>
      </c>
      <c r="G48" s="13">
        <v>4521</v>
      </c>
      <c r="H48" s="13">
        <v>27023</v>
      </c>
      <c r="I48" s="10">
        <v>80</v>
      </c>
      <c r="J48" s="13">
        <v>143</v>
      </c>
      <c r="K48" s="13">
        <v>3196</v>
      </c>
      <c r="L48" s="13">
        <v>874</v>
      </c>
      <c r="M48" s="13">
        <v>308</v>
      </c>
      <c r="N48" s="13">
        <v>0</v>
      </c>
      <c r="O48" s="13">
        <v>0</v>
      </c>
      <c r="P48" s="13">
        <v>56</v>
      </c>
      <c r="Q48" s="13">
        <v>546</v>
      </c>
      <c r="R48" s="17">
        <v>24</v>
      </c>
      <c r="S48" s="13">
        <v>12576</v>
      </c>
      <c r="T48" s="13">
        <v>0</v>
      </c>
      <c r="U48" s="18" t="s">
        <v>182</v>
      </c>
      <c r="V48" s="18" t="s">
        <v>183</v>
      </c>
    </row>
    <row r="49" spans="1:22" x14ac:dyDescent="0.25">
      <c r="A49" s="10">
        <v>48</v>
      </c>
      <c r="B49" s="13">
        <v>827370</v>
      </c>
      <c r="C49" s="13">
        <v>826930</v>
      </c>
      <c r="D49" s="9">
        <v>1110.0999999999999</v>
      </c>
      <c r="E49" s="9">
        <v>187.9</v>
      </c>
      <c r="F49" s="11">
        <v>1.4429000000000001</v>
      </c>
      <c r="G49" s="13">
        <v>3943</v>
      </c>
      <c r="H49" s="13">
        <v>26760</v>
      </c>
      <c r="I49" s="10">
        <v>83</v>
      </c>
      <c r="J49" s="13">
        <v>893</v>
      </c>
      <c r="K49" s="13">
        <v>1608</v>
      </c>
      <c r="L49" s="13">
        <v>329</v>
      </c>
      <c r="M49" s="13">
        <v>1113</v>
      </c>
      <c r="N49" s="13">
        <v>0</v>
      </c>
      <c r="O49" s="13">
        <v>0</v>
      </c>
      <c r="P49" s="13">
        <v>50</v>
      </c>
      <c r="Q49" s="13">
        <v>432</v>
      </c>
      <c r="R49" s="17">
        <v>24</v>
      </c>
      <c r="S49" s="13">
        <v>12304</v>
      </c>
      <c r="T49" s="13">
        <v>0</v>
      </c>
      <c r="U49" s="18" t="s">
        <v>181</v>
      </c>
      <c r="V49" s="18" t="s">
        <v>56</v>
      </c>
    </row>
    <row r="50" spans="1:22" x14ac:dyDescent="0.25">
      <c r="A50" s="10">
        <v>49</v>
      </c>
      <c r="B50" s="13">
        <v>826438</v>
      </c>
      <c r="C50" s="13">
        <v>825988</v>
      </c>
      <c r="D50" s="9">
        <v>1107.0999999999999</v>
      </c>
      <c r="E50" s="9">
        <v>185.2</v>
      </c>
      <c r="F50" s="11">
        <v>1.4421999999999999</v>
      </c>
      <c r="G50" s="13">
        <v>3592</v>
      </c>
      <c r="H50" s="13">
        <v>26872</v>
      </c>
      <c r="I50" s="10">
        <v>81</v>
      </c>
      <c r="J50" s="13">
        <v>652</v>
      </c>
      <c r="K50" s="13">
        <v>1013</v>
      </c>
      <c r="L50" s="13">
        <v>1732</v>
      </c>
      <c r="M50" s="13">
        <v>0</v>
      </c>
      <c r="N50" s="13">
        <v>0</v>
      </c>
      <c r="O50" s="13">
        <v>195</v>
      </c>
      <c r="P50" s="13">
        <v>49</v>
      </c>
      <c r="Q50" s="13">
        <v>479</v>
      </c>
      <c r="R50" s="17">
        <v>24</v>
      </c>
      <c r="S50" s="13">
        <v>12333</v>
      </c>
      <c r="T50" s="13">
        <v>0</v>
      </c>
      <c r="U50" s="18" t="s">
        <v>181</v>
      </c>
      <c r="V50" s="18" t="s">
        <v>56</v>
      </c>
    </row>
    <row r="51" spans="1:22" x14ac:dyDescent="0.25">
      <c r="A51" s="10">
        <v>50</v>
      </c>
      <c r="B51" s="13">
        <v>827144</v>
      </c>
      <c r="C51" s="13">
        <v>826726</v>
      </c>
      <c r="D51" s="9">
        <v>1109.7</v>
      </c>
      <c r="E51" s="9">
        <v>186.8</v>
      </c>
      <c r="F51" s="11">
        <v>1.4431</v>
      </c>
      <c r="G51" s="13">
        <v>4760</v>
      </c>
      <c r="H51" s="13">
        <v>26489</v>
      </c>
      <c r="I51" s="10">
        <v>82</v>
      </c>
      <c r="J51" s="13">
        <v>530</v>
      </c>
      <c r="K51" s="13">
        <v>2295</v>
      </c>
      <c r="L51" s="13">
        <v>1609</v>
      </c>
      <c r="M51" s="13">
        <v>326</v>
      </c>
      <c r="N51" s="13">
        <v>0</v>
      </c>
      <c r="O51" s="13">
        <v>0</v>
      </c>
      <c r="P51" s="13">
        <v>39</v>
      </c>
      <c r="Q51" s="13">
        <v>318</v>
      </c>
      <c r="R51" s="17">
        <v>24</v>
      </c>
      <c r="S51" s="13">
        <v>12320</v>
      </c>
      <c r="T51" s="13">
        <v>0</v>
      </c>
      <c r="U51" s="18" t="s">
        <v>182</v>
      </c>
      <c r="V51" s="18" t="s">
        <v>183</v>
      </c>
    </row>
    <row r="52" spans="1:22" x14ac:dyDescent="0.25">
      <c r="A52" s="10">
        <v>51</v>
      </c>
      <c r="B52" s="13">
        <v>828236</v>
      </c>
      <c r="C52" s="13">
        <v>827881</v>
      </c>
      <c r="D52" s="9">
        <v>1114.0999999999999</v>
      </c>
      <c r="E52" s="9">
        <v>191.6</v>
      </c>
      <c r="F52" s="11">
        <v>1.4418</v>
      </c>
      <c r="G52" s="13">
        <v>7763</v>
      </c>
      <c r="H52" s="13">
        <v>27327</v>
      </c>
      <c r="I52" s="10">
        <v>82</v>
      </c>
      <c r="J52" s="13">
        <v>689</v>
      </c>
      <c r="K52" s="13">
        <v>5866</v>
      </c>
      <c r="L52" s="13">
        <v>581</v>
      </c>
      <c r="M52" s="13">
        <v>387</v>
      </c>
      <c r="N52" s="13">
        <v>240</v>
      </c>
      <c r="O52" s="13">
        <v>0</v>
      </c>
      <c r="P52" s="13">
        <v>32</v>
      </c>
      <c r="Q52" s="13">
        <v>250</v>
      </c>
      <c r="R52" s="17">
        <v>24</v>
      </c>
      <c r="S52" s="13">
        <v>12304</v>
      </c>
      <c r="T52" s="13">
        <v>0</v>
      </c>
      <c r="U52" s="18" t="s">
        <v>181</v>
      </c>
      <c r="V52" s="18" t="s">
        <v>56</v>
      </c>
    </row>
    <row r="53" spans="1:22" x14ac:dyDescent="0.25">
      <c r="A53" s="10">
        <v>52</v>
      </c>
      <c r="B53" s="13">
        <v>826260</v>
      </c>
      <c r="C53" s="13">
        <v>825827</v>
      </c>
      <c r="D53" s="9">
        <v>1111.5</v>
      </c>
      <c r="E53" s="9">
        <v>189.5</v>
      </c>
      <c r="F53" s="11">
        <v>1.4431</v>
      </c>
      <c r="G53" s="13">
        <v>3292</v>
      </c>
      <c r="H53" s="13">
        <v>26638</v>
      </c>
      <c r="I53" s="10">
        <v>82</v>
      </c>
      <c r="J53" s="13">
        <v>677</v>
      </c>
      <c r="K53" s="13">
        <v>1856</v>
      </c>
      <c r="L53" s="13">
        <v>209</v>
      </c>
      <c r="M53" s="13">
        <v>203</v>
      </c>
      <c r="N53" s="13">
        <v>0</v>
      </c>
      <c r="O53" s="13">
        <v>347</v>
      </c>
      <c r="P53" s="13">
        <v>50</v>
      </c>
      <c r="Q53" s="13">
        <v>443</v>
      </c>
      <c r="R53" s="17">
        <v>24</v>
      </c>
      <c r="S53" s="13">
        <v>12128</v>
      </c>
      <c r="T53" s="13">
        <v>0</v>
      </c>
      <c r="U53" s="18" t="s">
        <v>181</v>
      </c>
      <c r="V53" s="18" t="s">
        <v>56</v>
      </c>
    </row>
    <row r="54" spans="1:22" x14ac:dyDescent="0.25">
      <c r="A54" s="10">
        <v>53</v>
      </c>
      <c r="B54" s="13">
        <v>827232</v>
      </c>
      <c r="C54" s="13">
        <v>826847</v>
      </c>
      <c r="D54" s="9">
        <v>1114.3</v>
      </c>
      <c r="E54" s="9">
        <v>191.8</v>
      </c>
      <c r="F54" s="11">
        <v>1.4439</v>
      </c>
      <c r="G54" s="13">
        <v>9425</v>
      </c>
      <c r="H54" s="13">
        <v>26742</v>
      </c>
      <c r="I54" s="10">
        <v>81</v>
      </c>
      <c r="J54" s="13">
        <v>1006</v>
      </c>
      <c r="K54" s="13">
        <v>7720</v>
      </c>
      <c r="L54" s="13">
        <v>14</v>
      </c>
      <c r="M54" s="13">
        <v>424</v>
      </c>
      <c r="N54" s="13">
        <v>145</v>
      </c>
      <c r="O54" s="13">
        <v>116</v>
      </c>
      <c r="P54" s="13">
        <v>56</v>
      </c>
      <c r="Q54" s="13">
        <v>441</v>
      </c>
      <c r="R54" s="17">
        <v>24</v>
      </c>
      <c r="S54" s="13">
        <v>12433</v>
      </c>
      <c r="T54" s="13">
        <v>0</v>
      </c>
      <c r="U54" s="18" t="s">
        <v>182</v>
      </c>
      <c r="V54" s="18" t="s">
        <v>183</v>
      </c>
    </row>
    <row r="55" spans="1:22" x14ac:dyDescent="0.25">
      <c r="A55" s="10">
        <v>54</v>
      </c>
      <c r="B55" s="13">
        <v>826439</v>
      </c>
      <c r="C55" s="13">
        <v>826058</v>
      </c>
      <c r="D55" s="9">
        <v>1110.0999999999999</v>
      </c>
      <c r="E55" s="9">
        <v>187.6</v>
      </c>
      <c r="F55" s="11">
        <v>1.4433</v>
      </c>
      <c r="G55" s="13">
        <v>2537</v>
      </c>
      <c r="H55" s="13">
        <v>26484</v>
      </c>
      <c r="I55" s="10">
        <v>82</v>
      </c>
      <c r="J55" s="13">
        <v>221</v>
      </c>
      <c r="K55" s="13">
        <v>1385</v>
      </c>
      <c r="L55" s="13">
        <v>458</v>
      </c>
      <c r="M55" s="13">
        <v>473</v>
      </c>
      <c r="N55" s="13">
        <v>0</v>
      </c>
      <c r="O55" s="13">
        <v>0</v>
      </c>
      <c r="P55" s="13">
        <v>37</v>
      </c>
      <c r="Q55" s="13">
        <v>291</v>
      </c>
      <c r="R55" s="17">
        <v>24</v>
      </c>
      <c r="S55" s="13">
        <v>12417</v>
      </c>
      <c r="T55" s="13">
        <v>0</v>
      </c>
      <c r="U55" s="18" t="s">
        <v>182</v>
      </c>
      <c r="V55" s="18" t="s">
        <v>183</v>
      </c>
    </row>
    <row r="56" spans="1:22" x14ac:dyDescent="0.25">
      <c r="A56" s="10">
        <v>55</v>
      </c>
      <c r="B56" s="13">
        <v>826871</v>
      </c>
      <c r="C56" s="13">
        <v>826467</v>
      </c>
      <c r="D56" s="9">
        <v>1108.0999999999999</v>
      </c>
      <c r="E56" s="9">
        <v>185.4</v>
      </c>
      <c r="F56" s="11">
        <v>1.4430000000000001</v>
      </c>
      <c r="G56" s="13">
        <v>2242</v>
      </c>
      <c r="H56" s="13">
        <v>26724</v>
      </c>
      <c r="I56" s="10">
        <v>82</v>
      </c>
      <c r="J56" s="13">
        <v>334</v>
      </c>
      <c r="K56" s="13">
        <v>1330</v>
      </c>
      <c r="L56" s="13">
        <v>578</v>
      </c>
      <c r="M56" s="13">
        <v>0</v>
      </c>
      <c r="N56" s="13">
        <v>0</v>
      </c>
      <c r="O56" s="13">
        <v>0</v>
      </c>
      <c r="P56" s="13">
        <v>39</v>
      </c>
      <c r="Q56" s="13">
        <v>345</v>
      </c>
      <c r="R56" s="17">
        <v>24</v>
      </c>
      <c r="S56" s="13">
        <v>12351</v>
      </c>
      <c r="T56" s="13">
        <v>0</v>
      </c>
      <c r="U56" s="18" t="s">
        <v>181</v>
      </c>
      <c r="V56" s="18" t="s">
        <v>56</v>
      </c>
    </row>
    <row r="57" spans="1:22" x14ac:dyDescent="0.25">
      <c r="A57" s="10">
        <v>56</v>
      </c>
      <c r="B57" s="13">
        <v>826817</v>
      </c>
      <c r="C57" s="13">
        <v>826357</v>
      </c>
      <c r="D57" s="9">
        <v>1113.0999999999999</v>
      </c>
      <c r="E57" s="9">
        <v>190.1</v>
      </c>
      <c r="F57" s="11">
        <v>1.4427000000000001</v>
      </c>
      <c r="G57" s="13">
        <v>4248</v>
      </c>
      <c r="H57" s="13">
        <v>26489</v>
      </c>
      <c r="I57" s="10">
        <v>83</v>
      </c>
      <c r="J57" s="13">
        <v>256</v>
      </c>
      <c r="K57" s="13">
        <v>1821</v>
      </c>
      <c r="L57" s="13">
        <v>2035</v>
      </c>
      <c r="M57" s="13">
        <v>136</v>
      </c>
      <c r="N57" s="13">
        <v>0</v>
      </c>
      <c r="O57" s="13">
        <v>0</v>
      </c>
      <c r="P57" s="13">
        <v>37</v>
      </c>
      <c r="Q57" s="13">
        <v>350</v>
      </c>
      <c r="R57" s="17">
        <v>24</v>
      </c>
      <c r="S57" s="13">
        <v>12525</v>
      </c>
      <c r="T57" s="13">
        <v>0</v>
      </c>
      <c r="U57" s="18" t="s">
        <v>182</v>
      </c>
      <c r="V57" s="18" t="s">
        <v>183</v>
      </c>
    </row>
    <row r="58" spans="1:22" x14ac:dyDescent="0.25">
      <c r="A58" s="10">
        <v>57</v>
      </c>
      <c r="B58" s="13">
        <v>826146</v>
      </c>
      <c r="C58" s="13">
        <v>825719</v>
      </c>
      <c r="D58" s="9">
        <v>1111.0999999999999</v>
      </c>
      <c r="E58" s="9">
        <v>189.3</v>
      </c>
      <c r="F58" s="11">
        <v>1.4420999999999999</v>
      </c>
      <c r="G58" s="13">
        <v>4744</v>
      </c>
      <c r="H58" s="13">
        <v>26964</v>
      </c>
      <c r="I58" s="10">
        <v>79</v>
      </c>
      <c r="J58" s="13">
        <v>1272</v>
      </c>
      <c r="K58" s="13">
        <v>2201</v>
      </c>
      <c r="L58" s="13">
        <v>641</v>
      </c>
      <c r="M58" s="13">
        <v>344</v>
      </c>
      <c r="N58" s="13">
        <v>286</v>
      </c>
      <c r="O58" s="13">
        <v>0</v>
      </c>
      <c r="P58" s="13">
        <v>50</v>
      </c>
      <c r="Q58" s="13">
        <v>506</v>
      </c>
      <c r="R58" s="17">
        <v>24</v>
      </c>
      <c r="S58" s="13">
        <v>12442</v>
      </c>
      <c r="T58" s="13">
        <v>0</v>
      </c>
      <c r="U58" s="18" t="s">
        <v>182</v>
      </c>
      <c r="V58" s="18" t="s">
        <v>183</v>
      </c>
    </row>
    <row r="59" spans="1:22" x14ac:dyDescent="0.25">
      <c r="A59" s="10">
        <v>58</v>
      </c>
      <c r="B59" s="13">
        <v>828092</v>
      </c>
      <c r="C59" s="13">
        <v>827727</v>
      </c>
      <c r="D59" s="9">
        <v>1112.5999999999999</v>
      </c>
      <c r="E59" s="9">
        <v>191</v>
      </c>
      <c r="F59" s="11">
        <v>1.4424999999999999</v>
      </c>
      <c r="G59" s="13">
        <v>3119</v>
      </c>
      <c r="H59" s="13">
        <v>26558</v>
      </c>
      <c r="I59" s="10">
        <v>81</v>
      </c>
      <c r="J59" s="13">
        <v>532</v>
      </c>
      <c r="K59" s="13">
        <v>778</v>
      </c>
      <c r="L59" s="13">
        <v>828</v>
      </c>
      <c r="M59" s="13">
        <v>337</v>
      </c>
      <c r="N59" s="13">
        <v>644</v>
      </c>
      <c r="O59" s="13">
        <v>0</v>
      </c>
      <c r="P59" s="13">
        <v>37</v>
      </c>
      <c r="Q59" s="13">
        <v>446</v>
      </c>
      <c r="R59" s="17">
        <v>24</v>
      </c>
      <c r="S59" s="13">
        <v>12546</v>
      </c>
      <c r="T59" s="13">
        <v>0</v>
      </c>
      <c r="U59" s="18" t="s">
        <v>181</v>
      </c>
      <c r="V59" s="18" t="s">
        <v>56</v>
      </c>
    </row>
    <row r="60" spans="1:22" x14ac:dyDescent="0.25">
      <c r="A60" s="10">
        <v>59</v>
      </c>
      <c r="B60" s="13">
        <v>828536</v>
      </c>
      <c r="C60" s="13">
        <v>828043</v>
      </c>
      <c r="D60" s="9">
        <v>1108.7</v>
      </c>
      <c r="E60" s="9">
        <v>186.7</v>
      </c>
      <c r="F60" s="11">
        <v>1.4422999999999999</v>
      </c>
      <c r="G60" s="13">
        <v>4621</v>
      </c>
      <c r="H60" s="13">
        <v>26618</v>
      </c>
      <c r="I60" s="10">
        <v>82</v>
      </c>
      <c r="J60" s="13">
        <v>147</v>
      </c>
      <c r="K60" s="13">
        <v>2126</v>
      </c>
      <c r="L60" s="13">
        <v>2045</v>
      </c>
      <c r="M60" s="13">
        <v>303</v>
      </c>
      <c r="N60" s="13">
        <v>0</v>
      </c>
      <c r="O60" s="13">
        <v>0</v>
      </c>
      <c r="P60" s="13">
        <v>42</v>
      </c>
      <c r="Q60" s="13">
        <v>320</v>
      </c>
      <c r="R60" s="17">
        <v>24</v>
      </c>
      <c r="S60" s="13">
        <v>12949</v>
      </c>
      <c r="T60" s="13">
        <v>0</v>
      </c>
      <c r="U60" s="18" t="s">
        <v>182</v>
      </c>
      <c r="V60" s="18" t="s">
        <v>183</v>
      </c>
    </row>
    <row r="61" spans="1:22" x14ac:dyDescent="0.25">
      <c r="A61" s="10">
        <v>60</v>
      </c>
      <c r="B61" s="13">
        <v>827744</v>
      </c>
      <c r="C61" s="13">
        <v>827308</v>
      </c>
      <c r="D61" s="9">
        <v>1110.8</v>
      </c>
      <c r="E61" s="9">
        <v>188.6</v>
      </c>
      <c r="F61" s="11">
        <v>1.4423999999999999</v>
      </c>
      <c r="G61" s="13">
        <v>4471</v>
      </c>
      <c r="H61" s="13">
        <v>26816</v>
      </c>
      <c r="I61" s="10">
        <v>81</v>
      </c>
      <c r="J61" s="13">
        <v>797</v>
      </c>
      <c r="K61" s="13">
        <v>1855</v>
      </c>
      <c r="L61" s="13">
        <v>1657</v>
      </c>
      <c r="M61" s="13">
        <v>162</v>
      </c>
      <c r="N61" s="13">
        <v>0</v>
      </c>
      <c r="O61" s="13">
        <v>0</v>
      </c>
      <c r="P61" s="13">
        <v>37</v>
      </c>
      <c r="Q61" s="13">
        <v>258</v>
      </c>
      <c r="R61" s="17">
        <v>24</v>
      </c>
      <c r="S61" s="13">
        <v>12577</v>
      </c>
      <c r="T61" s="13">
        <v>0</v>
      </c>
      <c r="U61" s="18" t="s">
        <v>181</v>
      </c>
      <c r="V61" s="18" t="s">
        <v>56</v>
      </c>
    </row>
    <row r="62" spans="1:22" x14ac:dyDescent="0.25">
      <c r="A62" s="10">
        <v>61</v>
      </c>
      <c r="B62" s="13">
        <v>828475</v>
      </c>
      <c r="C62" s="13">
        <v>828015</v>
      </c>
      <c r="D62" s="9">
        <v>1112</v>
      </c>
      <c r="E62" s="9">
        <v>189.1</v>
      </c>
      <c r="F62" s="11">
        <v>1.4426000000000001</v>
      </c>
      <c r="G62" s="13">
        <v>2589</v>
      </c>
      <c r="H62" s="13">
        <v>26430</v>
      </c>
      <c r="I62" s="10">
        <v>79</v>
      </c>
      <c r="J62" s="13">
        <v>645</v>
      </c>
      <c r="K62" s="13">
        <v>646</v>
      </c>
      <c r="L62" s="13">
        <v>1234</v>
      </c>
      <c r="M62" s="13">
        <v>64</v>
      </c>
      <c r="N62" s="13">
        <v>0</v>
      </c>
      <c r="O62" s="13">
        <v>0</v>
      </c>
      <c r="P62" s="13">
        <v>40</v>
      </c>
      <c r="Q62" s="13">
        <v>342</v>
      </c>
      <c r="R62" s="17">
        <v>24</v>
      </c>
      <c r="S62" s="13">
        <v>12807</v>
      </c>
      <c r="T62" s="13">
        <v>0</v>
      </c>
      <c r="U62" s="18" t="s">
        <v>181</v>
      </c>
      <c r="V62" s="18" t="s">
        <v>56</v>
      </c>
    </row>
    <row r="63" spans="1:22" x14ac:dyDescent="0.25">
      <c r="A63" s="10">
        <v>62</v>
      </c>
      <c r="B63" s="13">
        <v>826801</v>
      </c>
      <c r="C63" s="13">
        <v>826356</v>
      </c>
      <c r="D63" s="9">
        <v>1109.3</v>
      </c>
      <c r="E63" s="9">
        <v>187.4</v>
      </c>
      <c r="F63" s="11">
        <v>1.4420999999999999</v>
      </c>
      <c r="G63" s="13">
        <v>4733</v>
      </c>
      <c r="H63" s="13">
        <v>26256</v>
      </c>
      <c r="I63" s="10">
        <v>80</v>
      </c>
      <c r="J63" s="13">
        <v>174</v>
      </c>
      <c r="K63" s="13">
        <v>3677</v>
      </c>
      <c r="L63" s="13">
        <v>635</v>
      </c>
      <c r="M63" s="13">
        <v>247</v>
      </c>
      <c r="N63" s="13">
        <v>0</v>
      </c>
      <c r="O63" s="13">
        <v>0</v>
      </c>
      <c r="P63" s="13">
        <v>45</v>
      </c>
      <c r="Q63" s="13">
        <v>368</v>
      </c>
      <c r="R63" s="17">
        <v>24</v>
      </c>
      <c r="S63" s="13">
        <v>12991</v>
      </c>
      <c r="T63" s="13">
        <v>0</v>
      </c>
      <c r="U63" s="18" t="s">
        <v>182</v>
      </c>
      <c r="V63" s="18" t="s">
        <v>183</v>
      </c>
    </row>
    <row r="64" spans="1:22" x14ac:dyDescent="0.25">
      <c r="A64" s="10">
        <v>63</v>
      </c>
      <c r="B64" s="13">
        <v>827864</v>
      </c>
      <c r="C64" s="13">
        <v>827531</v>
      </c>
      <c r="D64" s="9">
        <v>1109.8</v>
      </c>
      <c r="E64" s="9">
        <v>188</v>
      </c>
      <c r="F64" s="11">
        <v>1.4412</v>
      </c>
      <c r="G64" s="13">
        <v>2124</v>
      </c>
      <c r="H64" s="13">
        <v>26387</v>
      </c>
      <c r="I64" s="10">
        <v>82</v>
      </c>
      <c r="J64" s="13">
        <v>203</v>
      </c>
      <c r="K64" s="13">
        <v>1153</v>
      </c>
      <c r="L64" s="13">
        <v>654</v>
      </c>
      <c r="M64" s="13">
        <v>114</v>
      </c>
      <c r="N64" s="13">
        <v>0</v>
      </c>
      <c r="O64" s="13">
        <v>0</v>
      </c>
      <c r="P64" s="13">
        <v>48</v>
      </c>
      <c r="Q64" s="13">
        <v>486</v>
      </c>
      <c r="R64" s="17">
        <v>24</v>
      </c>
      <c r="S64" s="13">
        <v>12614</v>
      </c>
      <c r="T64" s="13">
        <v>0</v>
      </c>
      <c r="U64" s="18" t="s">
        <v>181</v>
      </c>
      <c r="V64" s="18" t="s">
        <v>56</v>
      </c>
    </row>
    <row r="65" spans="1:22" x14ac:dyDescent="0.25">
      <c r="A65" s="10">
        <v>64</v>
      </c>
      <c r="B65" s="13">
        <v>829085</v>
      </c>
      <c r="C65" s="13">
        <v>828700</v>
      </c>
      <c r="D65" s="9">
        <v>1109.5</v>
      </c>
      <c r="E65" s="9">
        <v>187.7</v>
      </c>
      <c r="F65" s="11">
        <v>1.4423999999999999</v>
      </c>
      <c r="G65" s="13">
        <v>2349</v>
      </c>
      <c r="H65" s="13">
        <v>26541</v>
      </c>
      <c r="I65" s="10">
        <v>82</v>
      </c>
      <c r="J65" s="13">
        <v>44</v>
      </c>
      <c r="K65" s="13">
        <v>1565</v>
      </c>
      <c r="L65" s="13">
        <v>651</v>
      </c>
      <c r="M65" s="13">
        <v>89</v>
      </c>
      <c r="N65" s="13">
        <v>0</v>
      </c>
      <c r="O65" s="13">
        <v>0</v>
      </c>
      <c r="P65" s="13">
        <v>17</v>
      </c>
      <c r="Q65" s="13">
        <v>114</v>
      </c>
      <c r="R65" s="17">
        <v>24</v>
      </c>
      <c r="S65" s="13">
        <v>12666</v>
      </c>
      <c r="T65" s="13">
        <v>0</v>
      </c>
      <c r="U65" s="18" t="s">
        <v>182</v>
      </c>
      <c r="V65" s="18" t="s">
        <v>183</v>
      </c>
    </row>
    <row r="66" spans="1:22" x14ac:dyDescent="0.25">
      <c r="A66" s="10">
        <v>65</v>
      </c>
      <c r="B66" s="13">
        <v>827418</v>
      </c>
      <c r="C66" s="13">
        <v>827015</v>
      </c>
      <c r="D66" s="9">
        <v>1111.5</v>
      </c>
      <c r="E66" s="9">
        <v>188.6</v>
      </c>
      <c r="F66" s="11">
        <v>1.4420999999999999</v>
      </c>
      <c r="G66" s="13">
        <v>4996</v>
      </c>
      <c r="H66" s="13">
        <v>26524</v>
      </c>
      <c r="I66" s="10">
        <v>83</v>
      </c>
      <c r="J66" s="13">
        <v>829</v>
      </c>
      <c r="K66" s="13">
        <v>1014</v>
      </c>
      <c r="L66" s="13">
        <v>3025</v>
      </c>
      <c r="M66" s="13">
        <v>128</v>
      </c>
      <c r="N66" s="13">
        <v>0</v>
      </c>
      <c r="O66" s="13">
        <v>0</v>
      </c>
      <c r="P66" s="13">
        <v>23</v>
      </c>
      <c r="Q66" s="13">
        <v>258</v>
      </c>
      <c r="R66" s="17">
        <v>24</v>
      </c>
      <c r="S66" s="13">
        <v>12437</v>
      </c>
      <c r="T66" s="13">
        <v>0</v>
      </c>
      <c r="U66" s="18" t="s">
        <v>182</v>
      </c>
      <c r="V66" s="18" t="s">
        <v>183</v>
      </c>
    </row>
    <row r="67" spans="1:22" x14ac:dyDescent="0.25">
      <c r="A67" s="10">
        <v>66</v>
      </c>
      <c r="B67" s="13">
        <v>826160</v>
      </c>
      <c r="C67" s="13">
        <v>825758</v>
      </c>
      <c r="D67" s="9">
        <v>1111.7</v>
      </c>
      <c r="E67" s="9">
        <v>188.8</v>
      </c>
      <c r="F67" s="11">
        <v>1.4432</v>
      </c>
      <c r="G67" s="13">
        <v>3887</v>
      </c>
      <c r="H67" s="13">
        <v>26791</v>
      </c>
      <c r="I67" s="10">
        <v>80</v>
      </c>
      <c r="J67" s="13">
        <v>321</v>
      </c>
      <c r="K67" s="13">
        <v>3189</v>
      </c>
      <c r="L67" s="13">
        <v>299</v>
      </c>
      <c r="M67" s="13">
        <v>0</v>
      </c>
      <c r="N67" s="13">
        <v>78</v>
      </c>
      <c r="O67" s="13">
        <v>0</v>
      </c>
      <c r="P67" s="13">
        <v>50</v>
      </c>
      <c r="Q67" s="13">
        <v>489</v>
      </c>
      <c r="R67" s="17">
        <v>24</v>
      </c>
      <c r="S67" s="13">
        <v>12205</v>
      </c>
      <c r="T67" s="13">
        <v>0</v>
      </c>
      <c r="U67" s="18" t="s">
        <v>181</v>
      </c>
      <c r="V67" s="18" t="s">
        <v>56</v>
      </c>
    </row>
    <row r="68" spans="1:22" x14ac:dyDescent="0.25">
      <c r="A68" s="10">
        <v>67</v>
      </c>
      <c r="B68" s="13">
        <v>827337</v>
      </c>
      <c r="C68" s="13">
        <v>826981</v>
      </c>
      <c r="D68" s="9">
        <v>1111.0999999999999</v>
      </c>
      <c r="E68" s="9">
        <v>188.1</v>
      </c>
      <c r="F68" s="11">
        <v>1.4436</v>
      </c>
      <c r="G68" s="13">
        <v>2520</v>
      </c>
      <c r="H68" s="13">
        <v>26560</v>
      </c>
      <c r="I68" s="10">
        <v>82</v>
      </c>
      <c r="J68" s="13">
        <v>339</v>
      </c>
      <c r="K68" s="13">
        <v>1559</v>
      </c>
      <c r="L68" s="13">
        <v>622</v>
      </c>
      <c r="M68" s="13">
        <v>0</v>
      </c>
      <c r="N68" s="13">
        <v>0</v>
      </c>
      <c r="O68" s="13">
        <v>0</v>
      </c>
      <c r="P68" s="13">
        <v>25</v>
      </c>
      <c r="Q68" s="13">
        <v>228</v>
      </c>
      <c r="R68" s="17">
        <v>24</v>
      </c>
      <c r="S68" s="13">
        <v>12748</v>
      </c>
      <c r="T68" s="13">
        <v>0</v>
      </c>
      <c r="U68" s="18" t="s">
        <v>181</v>
      </c>
      <c r="V68" s="18" t="s">
        <v>56</v>
      </c>
    </row>
    <row r="69" spans="1:22" x14ac:dyDescent="0.25">
      <c r="A69" s="10">
        <v>68</v>
      </c>
      <c r="B69" s="13">
        <v>827731</v>
      </c>
      <c r="C69" s="13">
        <v>827286</v>
      </c>
      <c r="D69" s="9">
        <v>1106.4000000000001</v>
      </c>
      <c r="E69" s="9">
        <v>185.4</v>
      </c>
      <c r="F69" s="11">
        <v>1.4421999999999999</v>
      </c>
      <c r="G69" s="13">
        <v>3992</v>
      </c>
      <c r="H69" s="13">
        <v>26573</v>
      </c>
      <c r="I69" s="10">
        <v>84</v>
      </c>
      <c r="J69" s="13">
        <v>213</v>
      </c>
      <c r="K69" s="13">
        <v>2749</v>
      </c>
      <c r="L69" s="13">
        <v>1030</v>
      </c>
      <c r="M69" s="13">
        <v>0</v>
      </c>
      <c r="N69" s="13">
        <v>0</v>
      </c>
      <c r="O69" s="13">
        <v>0</v>
      </c>
      <c r="P69" s="13">
        <v>50</v>
      </c>
      <c r="Q69" s="13">
        <v>448</v>
      </c>
      <c r="R69" s="17">
        <v>24</v>
      </c>
      <c r="S69" s="13">
        <v>12494</v>
      </c>
      <c r="T69" s="13">
        <v>0</v>
      </c>
      <c r="U69" s="18" t="s">
        <v>182</v>
      </c>
      <c r="V69" s="18" t="s">
        <v>183</v>
      </c>
    </row>
    <row r="70" spans="1:22" x14ac:dyDescent="0.25">
      <c r="A70" s="10">
        <v>69</v>
      </c>
      <c r="B70" s="13">
        <v>826783</v>
      </c>
      <c r="C70" s="13">
        <v>826377</v>
      </c>
      <c r="D70" s="9">
        <v>1109.9000000000001</v>
      </c>
      <c r="E70" s="9">
        <v>187.5</v>
      </c>
      <c r="F70" s="11">
        <v>1.4421999999999999</v>
      </c>
      <c r="G70" s="13">
        <v>6668</v>
      </c>
      <c r="H70" s="13">
        <v>26557</v>
      </c>
      <c r="I70" s="10">
        <v>82</v>
      </c>
      <c r="J70" s="13">
        <v>542</v>
      </c>
      <c r="K70" s="13">
        <v>2455</v>
      </c>
      <c r="L70" s="13">
        <v>1997</v>
      </c>
      <c r="M70" s="13">
        <v>1674</v>
      </c>
      <c r="N70" s="13">
        <v>0</v>
      </c>
      <c r="O70" s="13">
        <v>0</v>
      </c>
      <c r="P70" s="13">
        <v>60</v>
      </c>
      <c r="Q70" s="13">
        <v>533</v>
      </c>
      <c r="R70" s="17">
        <v>24</v>
      </c>
      <c r="S70" s="13">
        <v>12438</v>
      </c>
      <c r="T70" s="13">
        <v>0</v>
      </c>
      <c r="U70" s="18" t="s">
        <v>181</v>
      </c>
      <c r="V70" s="18" t="s">
        <v>56</v>
      </c>
    </row>
    <row r="71" spans="1:22" x14ac:dyDescent="0.25">
      <c r="A71" s="10">
        <v>70</v>
      </c>
      <c r="B71" s="13">
        <v>826561</v>
      </c>
      <c r="C71" s="13">
        <v>826123</v>
      </c>
      <c r="D71" s="9">
        <v>1107</v>
      </c>
      <c r="E71" s="9">
        <v>184.7</v>
      </c>
      <c r="F71" s="11">
        <v>1.4434</v>
      </c>
      <c r="G71" s="13">
        <v>1285</v>
      </c>
      <c r="H71" s="13">
        <v>26424</v>
      </c>
      <c r="I71" s="10">
        <v>81</v>
      </c>
      <c r="J71" s="13">
        <v>307</v>
      </c>
      <c r="K71" s="13">
        <v>817</v>
      </c>
      <c r="L71" s="13">
        <v>48</v>
      </c>
      <c r="M71" s="13">
        <v>29</v>
      </c>
      <c r="N71" s="13">
        <v>0</v>
      </c>
      <c r="O71" s="13">
        <v>84</v>
      </c>
      <c r="P71" s="13">
        <v>59</v>
      </c>
      <c r="Q71" s="13">
        <v>537</v>
      </c>
      <c r="R71" s="17">
        <v>24</v>
      </c>
      <c r="S71" s="13">
        <v>12229</v>
      </c>
      <c r="T71" s="13">
        <v>0</v>
      </c>
      <c r="U71" s="18" t="s">
        <v>181</v>
      </c>
      <c r="V71" s="18" t="s">
        <v>56</v>
      </c>
    </row>
    <row r="72" spans="1:22" x14ac:dyDescent="0.25">
      <c r="A72" s="10">
        <v>71</v>
      </c>
      <c r="B72" s="13">
        <v>826431</v>
      </c>
      <c r="C72" s="13">
        <v>825964</v>
      </c>
      <c r="D72" s="9">
        <v>1117.0999999999999</v>
      </c>
      <c r="E72" s="9">
        <v>194.9</v>
      </c>
      <c r="F72" s="11">
        <v>1.4426000000000001</v>
      </c>
      <c r="G72" s="13">
        <v>19398</v>
      </c>
      <c r="H72" s="13">
        <v>27178</v>
      </c>
      <c r="I72" s="10">
        <v>82</v>
      </c>
      <c r="J72" s="13">
        <v>122</v>
      </c>
      <c r="K72" s="13">
        <v>18040</v>
      </c>
      <c r="L72" s="13">
        <v>526</v>
      </c>
      <c r="M72" s="13">
        <v>189</v>
      </c>
      <c r="N72" s="13">
        <v>4</v>
      </c>
      <c r="O72" s="13">
        <v>517</v>
      </c>
      <c r="P72" s="13">
        <v>27</v>
      </c>
      <c r="Q72" s="13">
        <v>273</v>
      </c>
      <c r="R72" s="17">
        <v>24</v>
      </c>
      <c r="S72" s="13">
        <v>12733</v>
      </c>
      <c r="T72" s="13">
        <v>0</v>
      </c>
      <c r="U72" s="18" t="s">
        <v>181</v>
      </c>
      <c r="V72" s="18" t="s">
        <v>56</v>
      </c>
    </row>
    <row r="73" spans="1:22" x14ac:dyDescent="0.25">
      <c r="A73" s="10">
        <v>72</v>
      </c>
      <c r="B73" s="13">
        <v>826532</v>
      </c>
      <c r="C73" s="13">
        <v>826135</v>
      </c>
      <c r="D73" s="9">
        <v>1110.4000000000001</v>
      </c>
      <c r="E73" s="9">
        <v>188.5</v>
      </c>
      <c r="F73" s="11">
        <v>1.4427000000000001</v>
      </c>
      <c r="G73" s="13">
        <v>2345</v>
      </c>
      <c r="H73" s="13">
        <v>26475</v>
      </c>
      <c r="I73" s="10">
        <v>81</v>
      </c>
      <c r="J73" s="13">
        <v>0</v>
      </c>
      <c r="K73" s="13">
        <v>1342</v>
      </c>
      <c r="L73" s="13">
        <v>786</v>
      </c>
      <c r="M73" s="13">
        <v>107</v>
      </c>
      <c r="N73" s="13">
        <v>110</v>
      </c>
      <c r="O73" s="13">
        <v>0</v>
      </c>
      <c r="P73" s="13">
        <v>27</v>
      </c>
      <c r="Q73" s="13">
        <v>220</v>
      </c>
      <c r="R73" s="17">
        <v>24</v>
      </c>
      <c r="S73" s="13">
        <v>12378</v>
      </c>
      <c r="T73" s="13">
        <v>0</v>
      </c>
      <c r="U73" s="18" t="s">
        <v>182</v>
      </c>
      <c r="V73" s="18" t="s">
        <v>183</v>
      </c>
    </row>
    <row r="74" spans="1:22" x14ac:dyDescent="0.25">
      <c r="A74" s="10">
        <v>73</v>
      </c>
      <c r="B74" s="13">
        <v>827855</v>
      </c>
      <c r="C74" s="13">
        <v>827443</v>
      </c>
      <c r="D74" s="9">
        <v>1109.2</v>
      </c>
      <c r="E74" s="9">
        <v>187.6</v>
      </c>
      <c r="F74" s="11">
        <v>1.4428000000000001</v>
      </c>
      <c r="G74" s="13">
        <v>4217</v>
      </c>
      <c r="H74" s="13">
        <v>26662</v>
      </c>
      <c r="I74" s="10">
        <v>80</v>
      </c>
      <c r="J74" s="13">
        <v>2636</v>
      </c>
      <c r="K74" s="13">
        <v>788</v>
      </c>
      <c r="L74" s="13">
        <v>693</v>
      </c>
      <c r="M74" s="13">
        <v>100</v>
      </c>
      <c r="N74" s="13">
        <v>0</v>
      </c>
      <c r="O74" s="13">
        <v>0</v>
      </c>
      <c r="P74" s="13">
        <v>45</v>
      </c>
      <c r="Q74" s="13">
        <v>462</v>
      </c>
      <c r="R74" s="17">
        <v>24</v>
      </c>
      <c r="S74" s="13">
        <v>12353</v>
      </c>
      <c r="T74" s="13">
        <v>0</v>
      </c>
      <c r="U74" s="18" t="s">
        <v>181</v>
      </c>
      <c r="V74" s="18" t="s">
        <v>56</v>
      </c>
    </row>
    <row r="75" spans="1:22" x14ac:dyDescent="0.25">
      <c r="A75" s="10">
        <v>74</v>
      </c>
      <c r="B75" s="13">
        <v>827192</v>
      </c>
      <c r="C75" s="13">
        <v>826810</v>
      </c>
      <c r="D75" s="9">
        <v>1113.5</v>
      </c>
      <c r="E75" s="9">
        <v>191.1</v>
      </c>
      <c r="F75" s="11">
        <v>1.4437</v>
      </c>
      <c r="G75" s="13">
        <v>10311</v>
      </c>
      <c r="H75" s="13">
        <v>27076</v>
      </c>
      <c r="I75" s="10">
        <v>79</v>
      </c>
      <c r="J75" s="13">
        <v>531</v>
      </c>
      <c r="K75" s="13">
        <v>8905</v>
      </c>
      <c r="L75" s="13">
        <v>868</v>
      </c>
      <c r="M75" s="13">
        <v>7</v>
      </c>
      <c r="N75" s="13">
        <v>0</v>
      </c>
      <c r="O75" s="13">
        <v>0</v>
      </c>
      <c r="P75" s="13">
        <v>44</v>
      </c>
      <c r="Q75" s="13">
        <v>366</v>
      </c>
      <c r="R75" s="17">
        <v>24</v>
      </c>
      <c r="S75" s="13">
        <v>12233</v>
      </c>
      <c r="T75" s="13">
        <v>0</v>
      </c>
      <c r="U75" s="18" t="s">
        <v>181</v>
      </c>
      <c r="V75" s="18" t="s">
        <v>56</v>
      </c>
    </row>
    <row r="76" spans="1:22" x14ac:dyDescent="0.25">
      <c r="A76" s="10">
        <v>75</v>
      </c>
      <c r="B76" s="13">
        <v>827837</v>
      </c>
      <c r="C76" s="13">
        <v>827424</v>
      </c>
      <c r="D76" s="9">
        <v>1109.3</v>
      </c>
      <c r="E76" s="9">
        <v>186.6</v>
      </c>
      <c r="F76" s="11">
        <v>1.4427000000000001</v>
      </c>
      <c r="G76" s="13">
        <v>5207</v>
      </c>
      <c r="H76" s="13">
        <v>27091</v>
      </c>
      <c r="I76" s="10">
        <v>84</v>
      </c>
      <c r="J76" s="13">
        <v>116</v>
      </c>
      <c r="K76" s="13">
        <v>4366</v>
      </c>
      <c r="L76" s="13">
        <v>691</v>
      </c>
      <c r="M76" s="13">
        <v>34</v>
      </c>
      <c r="N76" s="13">
        <v>0</v>
      </c>
      <c r="O76" s="13">
        <v>0</v>
      </c>
      <c r="P76" s="13">
        <v>36</v>
      </c>
      <c r="Q76" s="13">
        <v>308</v>
      </c>
      <c r="R76" s="17">
        <v>24</v>
      </c>
      <c r="S76" s="13">
        <v>12088</v>
      </c>
      <c r="T76" s="13">
        <v>0</v>
      </c>
      <c r="U76" s="18" t="s">
        <v>181</v>
      </c>
      <c r="V76" s="18" t="s">
        <v>56</v>
      </c>
    </row>
    <row r="77" spans="1:22" x14ac:dyDescent="0.25">
      <c r="A77" s="10">
        <v>76</v>
      </c>
      <c r="B77" s="13">
        <v>826772</v>
      </c>
      <c r="C77" s="13">
        <v>826400</v>
      </c>
      <c r="D77" s="9">
        <v>1112.0999999999999</v>
      </c>
      <c r="E77" s="9">
        <v>190.1</v>
      </c>
      <c r="F77" s="11">
        <v>1.4439</v>
      </c>
      <c r="G77" s="13">
        <v>3430</v>
      </c>
      <c r="H77" s="13">
        <v>26480</v>
      </c>
      <c r="I77" s="10">
        <v>80</v>
      </c>
      <c r="J77" s="13">
        <v>804</v>
      </c>
      <c r="K77" s="13">
        <v>847</v>
      </c>
      <c r="L77" s="13">
        <v>947</v>
      </c>
      <c r="M77" s="13">
        <v>197</v>
      </c>
      <c r="N77" s="13">
        <v>635</v>
      </c>
      <c r="O77" s="13">
        <v>0</v>
      </c>
      <c r="P77" s="13">
        <v>39</v>
      </c>
      <c r="Q77" s="13">
        <v>335</v>
      </c>
      <c r="R77" s="17">
        <v>24</v>
      </c>
      <c r="S77" s="13">
        <v>12544</v>
      </c>
      <c r="T77" s="13">
        <v>0</v>
      </c>
      <c r="U77" s="18" t="s">
        <v>181</v>
      </c>
      <c r="V77" s="18" t="s">
        <v>56</v>
      </c>
    </row>
    <row r="78" spans="1:22" x14ac:dyDescent="0.25">
      <c r="A78" s="10">
        <v>77</v>
      </c>
      <c r="B78" s="13">
        <v>826108</v>
      </c>
      <c r="C78" s="13">
        <v>825697</v>
      </c>
      <c r="D78" s="9">
        <v>1113.4000000000001</v>
      </c>
      <c r="E78" s="9">
        <v>192</v>
      </c>
      <c r="F78" s="11">
        <v>1.4422999999999999</v>
      </c>
      <c r="G78" s="13">
        <v>8320</v>
      </c>
      <c r="H78" s="13">
        <v>27109</v>
      </c>
      <c r="I78" s="10">
        <v>82</v>
      </c>
      <c r="J78" s="13">
        <v>239</v>
      </c>
      <c r="K78" s="13">
        <v>5937</v>
      </c>
      <c r="L78" s="13">
        <v>326</v>
      </c>
      <c r="M78" s="13">
        <v>107</v>
      </c>
      <c r="N78" s="13">
        <v>1411</v>
      </c>
      <c r="O78" s="13">
        <v>300</v>
      </c>
      <c r="P78" s="13">
        <v>32</v>
      </c>
      <c r="Q78" s="13">
        <v>264</v>
      </c>
      <c r="R78" s="17">
        <v>24</v>
      </c>
      <c r="S78" s="13">
        <v>12561</v>
      </c>
      <c r="T78" s="13">
        <v>0</v>
      </c>
      <c r="U78" s="18" t="s">
        <v>181</v>
      </c>
      <c r="V78" s="18" t="s">
        <v>56</v>
      </c>
    </row>
    <row r="79" spans="1:22" x14ac:dyDescent="0.25">
      <c r="A79" s="10">
        <v>78</v>
      </c>
      <c r="B79" s="13">
        <v>827821</v>
      </c>
      <c r="C79" s="13">
        <v>827442</v>
      </c>
      <c r="D79" s="9">
        <v>1111.7</v>
      </c>
      <c r="E79" s="9">
        <v>189.8</v>
      </c>
      <c r="F79" s="11">
        <v>1.4418</v>
      </c>
      <c r="G79" s="13">
        <v>5016</v>
      </c>
      <c r="H79" s="13">
        <v>26811</v>
      </c>
      <c r="I79" s="10">
        <v>81</v>
      </c>
      <c r="J79" s="13">
        <v>1015</v>
      </c>
      <c r="K79" s="13">
        <v>3805</v>
      </c>
      <c r="L79" s="13">
        <v>0</v>
      </c>
      <c r="M79" s="13">
        <v>0</v>
      </c>
      <c r="N79" s="13">
        <v>196</v>
      </c>
      <c r="O79" s="13">
        <v>0</v>
      </c>
      <c r="P79" s="13">
        <v>47</v>
      </c>
      <c r="Q79" s="13">
        <v>483</v>
      </c>
      <c r="R79" s="17">
        <v>24</v>
      </c>
      <c r="S79" s="13">
        <v>12273</v>
      </c>
      <c r="T79" s="13">
        <v>0</v>
      </c>
      <c r="U79" s="18" t="s">
        <v>181</v>
      </c>
      <c r="V79" s="18" t="s">
        <v>56</v>
      </c>
    </row>
    <row r="80" spans="1:22" x14ac:dyDescent="0.25">
      <c r="A80" s="10">
        <v>79</v>
      </c>
      <c r="B80" s="13">
        <v>827626</v>
      </c>
      <c r="C80" s="13">
        <v>827209</v>
      </c>
      <c r="D80" s="9">
        <v>1108.9000000000001</v>
      </c>
      <c r="E80" s="9">
        <v>185.6</v>
      </c>
      <c r="F80" s="11">
        <v>1.4433</v>
      </c>
      <c r="G80" s="13">
        <v>3107</v>
      </c>
      <c r="H80" s="13">
        <v>26406</v>
      </c>
      <c r="I80" s="10">
        <v>79</v>
      </c>
      <c r="J80" s="13">
        <v>704</v>
      </c>
      <c r="K80" s="13">
        <v>1620</v>
      </c>
      <c r="L80" s="13">
        <v>396</v>
      </c>
      <c r="M80" s="13">
        <v>387</v>
      </c>
      <c r="N80" s="13">
        <v>0</v>
      </c>
      <c r="O80" s="13">
        <v>0</v>
      </c>
      <c r="P80" s="13">
        <v>16</v>
      </c>
      <c r="Q80" s="13">
        <v>123</v>
      </c>
      <c r="R80" s="17">
        <v>24</v>
      </c>
      <c r="S80" s="13">
        <v>12758</v>
      </c>
      <c r="T80" s="13">
        <v>0</v>
      </c>
      <c r="U80" s="18" t="s">
        <v>181</v>
      </c>
      <c r="V80" s="18" t="s">
        <v>56</v>
      </c>
    </row>
    <row r="81" spans="1:22" x14ac:dyDescent="0.25">
      <c r="A81" s="10">
        <v>80</v>
      </c>
      <c r="B81" s="13">
        <v>828033</v>
      </c>
      <c r="C81" s="13">
        <v>827611</v>
      </c>
      <c r="D81" s="9">
        <v>1109.9000000000001</v>
      </c>
      <c r="E81" s="9">
        <v>187</v>
      </c>
      <c r="F81" s="11">
        <v>1.4430000000000001</v>
      </c>
      <c r="G81" s="13">
        <v>2523</v>
      </c>
      <c r="H81" s="13">
        <v>26504</v>
      </c>
      <c r="I81" s="10">
        <v>81</v>
      </c>
      <c r="J81" s="13">
        <v>448</v>
      </c>
      <c r="K81" s="13">
        <v>450</v>
      </c>
      <c r="L81" s="13">
        <v>1161</v>
      </c>
      <c r="M81" s="13">
        <v>400</v>
      </c>
      <c r="N81" s="13">
        <v>64</v>
      </c>
      <c r="O81" s="13">
        <v>0</v>
      </c>
      <c r="P81" s="13">
        <v>32</v>
      </c>
      <c r="Q81" s="13">
        <v>252</v>
      </c>
      <c r="R81" s="17">
        <v>24</v>
      </c>
      <c r="S81" s="13">
        <v>12897</v>
      </c>
      <c r="T81" s="13">
        <v>0</v>
      </c>
      <c r="U81" s="18" t="s">
        <v>181</v>
      </c>
      <c r="V81" s="18" t="s">
        <v>56</v>
      </c>
    </row>
    <row r="82" spans="1:22" x14ac:dyDescent="0.25">
      <c r="A82" s="10">
        <v>81</v>
      </c>
      <c r="B82" s="13">
        <v>826208</v>
      </c>
      <c r="C82" s="13">
        <v>825789</v>
      </c>
      <c r="D82" s="9">
        <v>1113.2</v>
      </c>
      <c r="E82" s="9">
        <v>190.8</v>
      </c>
      <c r="F82" s="11">
        <v>1.4423999999999999</v>
      </c>
      <c r="G82" s="13">
        <v>7627</v>
      </c>
      <c r="H82" s="13">
        <v>27709</v>
      </c>
      <c r="I82" s="10">
        <v>80</v>
      </c>
      <c r="J82" s="13">
        <v>646</v>
      </c>
      <c r="K82" s="13">
        <v>5599</v>
      </c>
      <c r="L82" s="13">
        <v>1109</v>
      </c>
      <c r="M82" s="13">
        <v>0</v>
      </c>
      <c r="N82" s="13">
        <v>0</v>
      </c>
      <c r="O82" s="13">
        <v>273</v>
      </c>
      <c r="P82" s="13">
        <v>41</v>
      </c>
      <c r="Q82" s="13">
        <v>427</v>
      </c>
      <c r="R82" s="17">
        <v>24</v>
      </c>
      <c r="S82" s="13">
        <v>12618</v>
      </c>
      <c r="T82" s="13">
        <v>0</v>
      </c>
      <c r="U82" s="18" t="s">
        <v>181</v>
      </c>
      <c r="V82" s="18" t="s">
        <v>56</v>
      </c>
    </row>
    <row r="83" spans="1:22" x14ac:dyDescent="0.25">
      <c r="A83" s="10">
        <v>82</v>
      </c>
      <c r="B83" s="13">
        <v>827449</v>
      </c>
      <c r="C83" s="13">
        <v>827038</v>
      </c>
      <c r="D83" s="9">
        <v>1106.4000000000001</v>
      </c>
      <c r="E83" s="9">
        <v>184.6</v>
      </c>
      <c r="F83" s="11">
        <v>1.4419999999999999</v>
      </c>
      <c r="G83" s="13">
        <v>2833</v>
      </c>
      <c r="H83" s="13">
        <v>26155</v>
      </c>
      <c r="I83" s="10">
        <v>83</v>
      </c>
      <c r="J83" s="13">
        <v>286</v>
      </c>
      <c r="K83" s="13">
        <v>2447</v>
      </c>
      <c r="L83" s="13">
        <v>100</v>
      </c>
      <c r="M83" s="13">
        <v>0</v>
      </c>
      <c r="N83" s="13">
        <v>0</v>
      </c>
      <c r="O83" s="13">
        <v>0</v>
      </c>
      <c r="P83" s="13">
        <v>41</v>
      </c>
      <c r="Q83" s="13">
        <v>407</v>
      </c>
      <c r="R83" s="17">
        <v>24</v>
      </c>
      <c r="S83" s="13">
        <v>12768</v>
      </c>
      <c r="T83" s="13">
        <v>0</v>
      </c>
      <c r="U83" s="18" t="s">
        <v>181</v>
      </c>
      <c r="V83" s="18" t="s">
        <v>56</v>
      </c>
    </row>
    <row r="84" spans="1:22" x14ac:dyDescent="0.25">
      <c r="A84" s="10">
        <v>83</v>
      </c>
      <c r="B84" s="13">
        <v>827312</v>
      </c>
      <c r="C84" s="13">
        <v>826939</v>
      </c>
      <c r="D84" s="9">
        <v>1112.7</v>
      </c>
      <c r="E84" s="9">
        <v>190.6</v>
      </c>
      <c r="F84" s="11">
        <v>1.4435</v>
      </c>
      <c r="G84" s="13">
        <v>3347</v>
      </c>
      <c r="H84" s="13">
        <v>26871</v>
      </c>
      <c r="I84" s="10">
        <v>81</v>
      </c>
      <c r="J84" s="13">
        <v>153</v>
      </c>
      <c r="K84" s="13">
        <v>1595</v>
      </c>
      <c r="L84" s="13">
        <v>378</v>
      </c>
      <c r="M84" s="13">
        <v>0</v>
      </c>
      <c r="N84" s="13">
        <v>956</v>
      </c>
      <c r="O84" s="13">
        <v>265</v>
      </c>
      <c r="P84" s="13">
        <v>25</v>
      </c>
      <c r="Q84" s="13">
        <v>220</v>
      </c>
      <c r="R84" s="17">
        <v>24</v>
      </c>
      <c r="S84" s="13">
        <v>12237</v>
      </c>
      <c r="T84" s="13">
        <v>0</v>
      </c>
      <c r="U84" s="18" t="s">
        <v>181</v>
      </c>
      <c r="V84" s="18" t="s">
        <v>56</v>
      </c>
    </row>
    <row r="85" spans="1:22" x14ac:dyDescent="0.25">
      <c r="A85" s="10">
        <v>84</v>
      </c>
      <c r="B85" s="13">
        <v>827881</v>
      </c>
      <c r="C85" s="13">
        <v>827426</v>
      </c>
      <c r="D85" s="9">
        <v>1107</v>
      </c>
      <c r="E85" s="9">
        <v>185</v>
      </c>
      <c r="F85" s="11">
        <v>1.4424999999999999</v>
      </c>
      <c r="G85" s="13">
        <v>3256</v>
      </c>
      <c r="H85" s="13">
        <v>26792</v>
      </c>
      <c r="I85" s="10">
        <v>80</v>
      </c>
      <c r="J85" s="13">
        <v>120</v>
      </c>
      <c r="K85" s="13">
        <v>1412</v>
      </c>
      <c r="L85" s="13">
        <v>1698</v>
      </c>
      <c r="M85" s="13">
        <v>26</v>
      </c>
      <c r="N85" s="13">
        <v>0</v>
      </c>
      <c r="O85" s="13">
        <v>0</v>
      </c>
      <c r="P85" s="13">
        <v>50</v>
      </c>
      <c r="Q85" s="13">
        <v>586</v>
      </c>
      <c r="R85" s="17">
        <v>24</v>
      </c>
      <c r="S85" s="13">
        <v>12132</v>
      </c>
      <c r="T85" s="13">
        <v>0</v>
      </c>
      <c r="U85" s="18" t="s">
        <v>181</v>
      </c>
      <c r="V85" s="18" t="s">
        <v>56</v>
      </c>
    </row>
    <row r="86" spans="1:22" x14ac:dyDescent="0.25">
      <c r="A86" s="10">
        <v>85</v>
      </c>
      <c r="B86" s="13">
        <v>828281</v>
      </c>
      <c r="C86" s="13">
        <v>827894</v>
      </c>
      <c r="D86" s="9">
        <v>1111</v>
      </c>
      <c r="E86" s="9">
        <v>189.2</v>
      </c>
      <c r="F86" s="11">
        <v>1.4430000000000001</v>
      </c>
      <c r="G86" s="13">
        <v>2417</v>
      </c>
      <c r="H86" s="13">
        <v>26589</v>
      </c>
      <c r="I86" s="10">
        <v>80</v>
      </c>
      <c r="J86" s="13">
        <v>114</v>
      </c>
      <c r="K86" s="13">
        <v>1809</v>
      </c>
      <c r="L86" s="13">
        <v>494</v>
      </c>
      <c r="M86" s="13">
        <v>0</v>
      </c>
      <c r="N86" s="13">
        <v>0</v>
      </c>
      <c r="O86" s="13">
        <v>0</v>
      </c>
      <c r="P86" s="13">
        <v>32</v>
      </c>
      <c r="Q86" s="13">
        <v>273</v>
      </c>
      <c r="R86" s="17">
        <v>24</v>
      </c>
      <c r="S86" s="13">
        <v>12665</v>
      </c>
      <c r="T86" s="13">
        <v>0</v>
      </c>
      <c r="U86" s="18" t="s">
        <v>182</v>
      </c>
      <c r="V86" s="18" t="s">
        <v>183</v>
      </c>
    </row>
    <row r="87" spans="1:22" x14ac:dyDescent="0.25">
      <c r="A87" s="10">
        <v>86</v>
      </c>
      <c r="B87" s="13">
        <v>826714</v>
      </c>
      <c r="C87" s="13">
        <v>826314</v>
      </c>
      <c r="D87" s="9">
        <v>1112</v>
      </c>
      <c r="E87" s="9">
        <v>189.4</v>
      </c>
      <c r="F87" s="11">
        <v>1.4428000000000001</v>
      </c>
      <c r="G87" s="13">
        <v>4222</v>
      </c>
      <c r="H87" s="13">
        <v>27180</v>
      </c>
      <c r="I87" s="10">
        <v>79</v>
      </c>
      <c r="J87" s="13">
        <v>125</v>
      </c>
      <c r="K87" s="13">
        <v>3153</v>
      </c>
      <c r="L87" s="13">
        <v>304</v>
      </c>
      <c r="M87" s="13">
        <v>312</v>
      </c>
      <c r="N87" s="13">
        <v>0</v>
      </c>
      <c r="O87" s="13">
        <v>328</v>
      </c>
      <c r="P87" s="13">
        <v>28</v>
      </c>
      <c r="Q87" s="13">
        <v>241</v>
      </c>
      <c r="R87" s="17">
        <v>24</v>
      </c>
      <c r="S87" s="13">
        <v>12286</v>
      </c>
      <c r="T87" s="13">
        <v>0</v>
      </c>
      <c r="U87" s="18" t="s">
        <v>181</v>
      </c>
      <c r="V87" s="18" t="s">
        <v>56</v>
      </c>
    </row>
    <row r="88" spans="1:22" x14ac:dyDescent="0.25">
      <c r="A88" s="10">
        <v>87</v>
      </c>
      <c r="B88" s="13">
        <v>827356</v>
      </c>
      <c r="C88" s="13">
        <v>826940</v>
      </c>
      <c r="D88" s="9">
        <v>1109.4000000000001</v>
      </c>
      <c r="E88" s="9">
        <v>187.5</v>
      </c>
      <c r="F88" s="11">
        <v>1.4418</v>
      </c>
      <c r="G88" s="13">
        <v>4457</v>
      </c>
      <c r="H88" s="13">
        <v>26755</v>
      </c>
      <c r="I88" s="10">
        <v>84</v>
      </c>
      <c r="J88" s="13">
        <v>67</v>
      </c>
      <c r="K88" s="13">
        <v>3866</v>
      </c>
      <c r="L88" s="13">
        <v>421</v>
      </c>
      <c r="M88" s="13">
        <v>0</v>
      </c>
      <c r="N88" s="13">
        <v>103</v>
      </c>
      <c r="O88" s="13">
        <v>0</v>
      </c>
      <c r="P88" s="13">
        <v>38</v>
      </c>
      <c r="Q88" s="13">
        <v>345</v>
      </c>
      <c r="R88" s="17">
        <v>24</v>
      </c>
      <c r="S88" s="13">
        <v>11770</v>
      </c>
      <c r="T88" s="13">
        <v>0</v>
      </c>
      <c r="U88" s="18" t="s">
        <v>188</v>
      </c>
      <c r="V88" s="18" t="s">
        <v>189</v>
      </c>
    </row>
    <row r="89" spans="1:22" x14ac:dyDescent="0.25">
      <c r="A89" s="10">
        <v>88</v>
      </c>
      <c r="B89" s="13">
        <v>826400</v>
      </c>
      <c r="C89" s="13">
        <v>825974</v>
      </c>
      <c r="D89" s="9">
        <v>1113.2</v>
      </c>
      <c r="E89" s="9">
        <v>190.1</v>
      </c>
      <c r="F89" s="11">
        <v>1.4430000000000001</v>
      </c>
      <c r="G89" s="13">
        <v>7925</v>
      </c>
      <c r="H89" s="13">
        <v>26893</v>
      </c>
      <c r="I89" s="10">
        <v>83</v>
      </c>
      <c r="J89" s="13">
        <v>125</v>
      </c>
      <c r="K89" s="13">
        <v>4381</v>
      </c>
      <c r="L89" s="13">
        <v>3419</v>
      </c>
      <c r="M89" s="13">
        <v>0</v>
      </c>
      <c r="N89" s="13">
        <v>0</v>
      </c>
      <c r="O89" s="13">
        <v>0</v>
      </c>
      <c r="P89" s="13">
        <v>32</v>
      </c>
      <c r="Q89" s="13">
        <v>337</v>
      </c>
      <c r="R89" s="17">
        <v>24</v>
      </c>
      <c r="S89" s="13">
        <v>13569</v>
      </c>
      <c r="T89" s="13">
        <v>0</v>
      </c>
      <c r="U89" s="18" t="s">
        <v>181</v>
      </c>
      <c r="V89" s="18" t="s">
        <v>56</v>
      </c>
    </row>
    <row r="90" spans="1:22" x14ac:dyDescent="0.25">
      <c r="A90" s="10">
        <v>89</v>
      </c>
      <c r="B90" s="13">
        <v>828661</v>
      </c>
      <c r="C90" s="13">
        <v>828278</v>
      </c>
      <c r="D90" s="9">
        <v>1109.4000000000001</v>
      </c>
      <c r="E90" s="9">
        <v>187.6</v>
      </c>
      <c r="F90" s="11">
        <v>1.4424999999999999</v>
      </c>
      <c r="G90" s="13">
        <v>2666</v>
      </c>
      <c r="H90" s="13">
        <v>26591</v>
      </c>
      <c r="I90" s="10">
        <v>83</v>
      </c>
      <c r="J90" s="13">
        <v>207</v>
      </c>
      <c r="K90" s="13">
        <v>2414</v>
      </c>
      <c r="L90" s="13">
        <v>25</v>
      </c>
      <c r="M90" s="13">
        <v>0</v>
      </c>
      <c r="N90" s="13">
        <v>20</v>
      </c>
      <c r="O90" s="13">
        <v>0</v>
      </c>
      <c r="P90" s="13">
        <v>26</v>
      </c>
      <c r="Q90" s="13">
        <v>212</v>
      </c>
      <c r="R90" s="17">
        <v>24</v>
      </c>
      <c r="S90" s="13">
        <v>12080</v>
      </c>
      <c r="T90" s="13">
        <v>0</v>
      </c>
      <c r="U90" s="18" t="s">
        <v>181</v>
      </c>
      <c r="V90" s="18" t="s">
        <v>56</v>
      </c>
    </row>
    <row r="91" spans="1:22" x14ac:dyDescent="0.25">
      <c r="A91" s="10">
        <v>90</v>
      </c>
      <c r="B91" s="13">
        <v>827372</v>
      </c>
      <c r="C91" s="13">
        <v>826999</v>
      </c>
      <c r="D91" s="9">
        <v>1109.9000000000001</v>
      </c>
      <c r="E91" s="9">
        <v>187.5</v>
      </c>
      <c r="F91" s="11">
        <v>1.4423999999999999</v>
      </c>
      <c r="G91" s="13">
        <v>3038</v>
      </c>
      <c r="H91" s="13">
        <v>26352</v>
      </c>
      <c r="I91" s="10">
        <v>81</v>
      </c>
      <c r="J91" s="13">
        <v>370</v>
      </c>
      <c r="K91" s="13">
        <v>2344</v>
      </c>
      <c r="L91" s="13">
        <v>132</v>
      </c>
      <c r="M91" s="13">
        <v>0</v>
      </c>
      <c r="N91" s="13">
        <v>192</v>
      </c>
      <c r="O91" s="13">
        <v>0</v>
      </c>
      <c r="P91" s="13">
        <v>27</v>
      </c>
      <c r="Q91" s="13">
        <v>234</v>
      </c>
      <c r="R91" s="17">
        <v>24</v>
      </c>
      <c r="S91" s="13">
        <v>12491</v>
      </c>
      <c r="T91" s="13">
        <v>0</v>
      </c>
      <c r="U91" s="18" t="s">
        <v>181</v>
      </c>
      <c r="V91" s="18" t="s">
        <v>56</v>
      </c>
    </row>
    <row r="92" spans="1:22" x14ac:dyDescent="0.25">
      <c r="A92" s="10">
        <v>91</v>
      </c>
      <c r="B92" s="13">
        <v>827126</v>
      </c>
      <c r="C92" s="13">
        <v>826733</v>
      </c>
      <c r="D92" s="9">
        <v>1110</v>
      </c>
      <c r="E92" s="9">
        <v>187.9</v>
      </c>
      <c r="F92" s="11">
        <v>1.4432</v>
      </c>
      <c r="G92" s="13">
        <v>2864</v>
      </c>
      <c r="H92" s="13">
        <v>27594</v>
      </c>
      <c r="I92" s="10">
        <v>82</v>
      </c>
      <c r="J92" s="13">
        <v>0</v>
      </c>
      <c r="K92" s="13">
        <v>1586</v>
      </c>
      <c r="L92" s="13">
        <v>1275</v>
      </c>
      <c r="M92" s="13">
        <v>3</v>
      </c>
      <c r="N92" s="13">
        <v>0</v>
      </c>
      <c r="O92" s="13">
        <v>0</v>
      </c>
      <c r="P92" s="13">
        <v>35</v>
      </c>
      <c r="Q92" s="13">
        <v>288</v>
      </c>
      <c r="R92" s="17">
        <v>24</v>
      </c>
      <c r="S92" s="13">
        <v>12436</v>
      </c>
      <c r="T92" s="13">
        <v>0</v>
      </c>
      <c r="U92" s="18" t="s">
        <v>188</v>
      </c>
      <c r="V92" s="18" t="s">
        <v>189</v>
      </c>
    </row>
    <row r="93" spans="1:22" x14ac:dyDescent="0.25">
      <c r="A93" s="10">
        <v>92</v>
      </c>
      <c r="B93" s="13">
        <v>827715</v>
      </c>
      <c r="C93" s="13">
        <v>827276</v>
      </c>
      <c r="D93" s="9">
        <v>1110.4000000000001</v>
      </c>
      <c r="E93" s="9">
        <v>188.1</v>
      </c>
      <c r="F93" s="11">
        <v>1.4420999999999999</v>
      </c>
      <c r="G93" s="13">
        <v>2537</v>
      </c>
      <c r="H93" s="13">
        <v>26917</v>
      </c>
      <c r="I93" s="10">
        <v>82</v>
      </c>
      <c r="J93" s="13">
        <v>144</v>
      </c>
      <c r="K93" s="13">
        <v>1424</v>
      </c>
      <c r="L93" s="13">
        <v>263</v>
      </c>
      <c r="M93" s="13">
        <v>674</v>
      </c>
      <c r="N93" s="13">
        <v>32</v>
      </c>
      <c r="O93" s="13">
        <v>0</v>
      </c>
      <c r="P93" s="13">
        <v>42</v>
      </c>
      <c r="Q93" s="13">
        <v>430</v>
      </c>
      <c r="R93" s="17">
        <v>24</v>
      </c>
      <c r="S93" s="13">
        <v>12064</v>
      </c>
      <c r="T93" s="13">
        <v>0</v>
      </c>
      <c r="U93" s="18" t="s">
        <v>181</v>
      </c>
      <c r="V93" s="18" t="s">
        <v>56</v>
      </c>
    </row>
    <row r="94" spans="1:22" x14ac:dyDescent="0.25">
      <c r="A94" s="10">
        <v>93</v>
      </c>
      <c r="B94" s="13">
        <v>828074</v>
      </c>
      <c r="C94" s="13">
        <v>827668</v>
      </c>
      <c r="D94" s="9">
        <v>1110</v>
      </c>
      <c r="E94" s="9">
        <v>187.2</v>
      </c>
      <c r="F94" s="11">
        <v>1.4431</v>
      </c>
      <c r="G94" s="13">
        <v>1802</v>
      </c>
      <c r="H94" s="13">
        <v>26244</v>
      </c>
      <c r="I94" s="10">
        <v>81</v>
      </c>
      <c r="J94" s="13">
        <v>651</v>
      </c>
      <c r="K94" s="13">
        <v>968</v>
      </c>
      <c r="L94" s="13">
        <v>183</v>
      </c>
      <c r="M94" s="13">
        <v>0</v>
      </c>
      <c r="N94" s="13">
        <v>0</v>
      </c>
      <c r="O94" s="13">
        <v>0</v>
      </c>
      <c r="P94" s="13">
        <v>29</v>
      </c>
      <c r="Q94" s="13">
        <v>235</v>
      </c>
      <c r="R94" s="17">
        <v>24</v>
      </c>
      <c r="S94" s="13">
        <v>12464</v>
      </c>
      <c r="T94" s="13">
        <v>0</v>
      </c>
      <c r="U94" s="18" t="s">
        <v>182</v>
      </c>
      <c r="V94" s="18" t="s">
        <v>183</v>
      </c>
    </row>
    <row r="95" spans="1:22" x14ac:dyDescent="0.25">
      <c r="A95" s="10">
        <v>94</v>
      </c>
      <c r="B95" s="13">
        <v>826409</v>
      </c>
      <c r="C95" s="13">
        <v>825960</v>
      </c>
      <c r="D95" s="9">
        <v>1109.9000000000001</v>
      </c>
      <c r="E95" s="9">
        <v>188.5</v>
      </c>
      <c r="F95" s="11">
        <v>1.4421999999999999</v>
      </c>
      <c r="G95" s="13">
        <v>2507</v>
      </c>
      <c r="H95" s="13">
        <v>26510</v>
      </c>
      <c r="I95" s="10">
        <v>82</v>
      </c>
      <c r="J95" s="13">
        <v>176</v>
      </c>
      <c r="K95" s="13">
        <v>1428</v>
      </c>
      <c r="L95" s="13">
        <v>207</v>
      </c>
      <c r="M95" s="13">
        <v>160</v>
      </c>
      <c r="N95" s="13">
        <v>536</v>
      </c>
      <c r="O95" s="13">
        <v>0</v>
      </c>
      <c r="P95" s="13">
        <v>40</v>
      </c>
      <c r="Q95" s="13">
        <v>354</v>
      </c>
      <c r="R95" s="17">
        <v>24</v>
      </c>
      <c r="S95" s="13">
        <v>12093</v>
      </c>
      <c r="T95" s="13">
        <v>0</v>
      </c>
      <c r="U95" s="18" t="s">
        <v>181</v>
      </c>
      <c r="V95" s="18" t="s">
        <v>56</v>
      </c>
    </row>
    <row r="96" spans="1:22" x14ac:dyDescent="0.25">
      <c r="A96" s="10">
        <v>95</v>
      </c>
      <c r="B96" s="13">
        <v>827325</v>
      </c>
      <c r="C96" s="13">
        <v>826897</v>
      </c>
      <c r="D96" s="9">
        <v>1109.3</v>
      </c>
      <c r="E96" s="9">
        <v>187.8</v>
      </c>
      <c r="F96" s="11">
        <v>1.4421999999999999</v>
      </c>
      <c r="G96" s="13">
        <v>2633</v>
      </c>
      <c r="H96" s="13">
        <v>26366</v>
      </c>
      <c r="I96" s="10">
        <v>82</v>
      </c>
      <c r="J96" s="13">
        <v>351</v>
      </c>
      <c r="K96" s="13">
        <v>1971</v>
      </c>
      <c r="L96" s="13">
        <v>311</v>
      </c>
      <c r="M96" s="13">
        <v>0</v>
      </c>
      <c r="N96" s="13">
        <v>0</v>
      </c>
      <c r="O96" s="13">
        <v>0</v>
      </c>
      <c r="P96" s="13">
        <v>35</v>
      </c>
      <c r="Q96" s="13">
        <v>344</v>
      </c>
      <c r="R96" s="17">
        <v>24</v>
      </c>
      <c r="S96" s="13">
        <v>12336</v>
      </c>
      <c r="T96" s="13">
        <v>0</v>
      </c>
      <c r="U96" s="18" t="s">
        <v>181</v>
      </c>
      <c r="V96" s="18" t="s">
        <v>56</v>
      </c>
    </row>
    <row r="97" spans="1:22" x14ac:dyDescent="0.25">
      <c r="A97" s="10">
        <v>96</v>
      </c>
      <c r="B97" s="13">
        <v>826838</v>
      </c>
      <c r="C97" s="13">
        <v>826388</v>
      </c>
      <c r="D97" s="9">
        <v>1109.5999999999999</v>
      </c>
      <c r="E97" s="9">
        <v>187.7</v>
      </c>
      <c r="F97" s="11">
        <v>1.4418</v>
      </c>
      <c r="G97" s="13">
        <v>5054</v>
      </c>
      <c r="H97" s="13">
        <v>26508</v>
      </c>
      <c r="I97" s="10">
        <v>82</v>
      </c>
      <c r="J97" s="13">
        <v>228</v>
      </c>
      <c r="K97" s="13">
        <v>3945</v>
      </c>
      <c r="L97" s="13">
        <v>881</v>
      </c>
      <c r="M97" s="13">
        <v>0</v>
      </c>
      <c r="N97" s="13">
        <v>0</v>
      </c>
      <c r="O97" s="13">
        <v>0</v>
      </c>
      <c r="P97" s="13">
        <v>43</v>
      </c>
      <c r="Q97" s="13">
        <v>414</v>
      </c>
      <c r="R97" s="17">
        <v>24</v>
      </c>
      <c r="S97" s="13">
        <v>12382</v>
      </c>
      <c r="T97" s="13">
        <v>0</v>
      </c>
      <c r="U97" s="18" t="s">
        <v>181</v>
      </c>
      <c r="V97" s="18" t="s">
        <v>56</v>
      </c>
    </row>
    <row r="98" spans="1:22" x14ac:dyDescent="0.25">
      <c r="A98" s="10">
        <v>97</v>
      </c>
      <c r="B98" s="13">
        <v>827933</v>
      </c>
      <c r="C98" s="13">
        <v>827576</v>
      </c>
      <c r="D98" s="9">
        <v>1111.5</v>
      </c>
      <c r="E98" s="9">
        <v>189.3</v>
      </c>
      <c r="F98" s="11">
        <v>1.4426000000000001</v>
      </c>
      <c r="G98" s="13">
        <v>3473</v>
      </c>
      <c r="H98" s="13">
        <v>27038</v>
      </c>
      <c r="I98" s="10">
        <v>85</v>
      </c>
      <c r="J98" s="13">
        <v>137</v>
      </c>
      <c r="K98" s="13">
        <v>2513</v>
      </c>
      <c r="L98" s="13">
        <v>93</v>
      </c>
      <c r="M98" s="13">
        <v>706</v>
      </c>
      <c r="N98" s="13">
        <v>24</v>
      </c>
      <c r="O98" s="13">
        <v>0</v>
      </c>
      <c r="P98" s="13">
        <v>37</v>
      </c>
      <c r="Q98" s="13">
        <v>436</v>
      </c>
      <c r="R98" s="17">
        <v>24</v>
      </c>
      <c r="S98" s="13">
        <v>12298</v>
      </c>
      <c r="T98" s="13">
        <v>0</v>
      </c>
      <c r="U98" s="18" t="s">
        <v>181</v>
      </c>
      <c r="V98" s="18" t="s">
        <v>56</v>
      </c>
    </row>
    <row r="99" spans="1:22" x14ac:dyDescent="0.25">
      <c r="A99" s="10">
        <v>98</v>
      </c>
      <c r="B99" s="13">
        <v>826102</v>
      </c>
      <c r="C99" s="13">
        <v>825716</v>
      </c>
      <c r="D99" s="9">
        <v>1108.9000000000001</v>
      </c>
      <c r="E99" s="9">
        <v>187.3</v>
      </c>
      <c r="F99" s="11">
        <v>1.4423999999999999</v>
      </c>
      <c r="G99" s="13">
        <v>2670</v>
      </c>
      <c r="H99" s="13">
        <v>26506</v>
      </c>
      <c r="I99" s="10">
        <v>80</v>
      </c>
      <c r="J99" s="13">
        <v>277</v>
      </c>
      <c r="K99" s="13">
        <v>1907</v>
      </c>
      <c r="L99" s="13">
        <v>345</v>
      </c>
      <c r="M99" s="13">
        <v>141</v>
      </c>
      <c r="N99" s="13">
        <v>0</v>
      </c>
      <c r="O99" s="13">
        <v>0</v>
      </c>
      <c r="P99" s="13">
        <v>53</v>
      </c>
      <c r="Q99" s="13">
        <v>398</v>
      </c>
      <c r="R99" s="17">
        <v>24</v>
      </c>
      <c r="S99" s="13">
        <v>11840</v>
      </c>
      <c r="T99" s="13">
        <v>0</v>
      </c>
      <c r="U99" s="18" t="s">
        <v>188</v>
      </c>
      <c r="V99" s="18" t="s">
        <v>189</v>
      </c>
    </row>
    <row r="100" spans="1:22" x14ac:dyDescent="0.25">
      <c r="A100" s="10">
        <v>99</v>
      </c>
      <c r="B100" s="13">
        <v>828127</v>
      </c>
      <c r="C100" s="13">
        <v>827684</v>
      </c>
      <c r="D100" s="9">
        <v>1111.3</v>
      </c>
      <c r="E100" s="9">
        <v>188.9</v>
      </c>
      <c r="F100" s="11">
        <v>1.4422999999999999</v>
      </c>
      <c r="G100" s="13">
        <v>2116</v>
      </c>
      <c r="H100" s="13">
        <v>27318</v>
      </c>
      <c r="I100" s="10">
        <v>81</v>
      </c>
      <c r="J100" s="13">
        <v>233</v>
      </c>
      <c r="K100" s="13">
        <v>841</v>
      </c>
      <c r="L100" s="13">
        <v>295</v>
      </c>
      <c r="M100" s="13">
        <v>189</v>
      </c>
      <c r="N100" s="13">
        <v>558</v>
      </c>
      <c r="O100" s="13">
        <v>0</v>
      </c>
      <c r="P100" s="13">
        <v>48</v>
      </c>
      <c r="Q100" s="13">
        <v>553</v>
      </c>
      <c r="R100" s="17">
        <v>24</v>
      </c>
      <c r="S100" s="13">
        <v>12406</v>
      </c>
      <c r="T100" s="13">
        <v>0</v>
      </c>
      <c r="U100" s="18" t="s">
        <v>182</v>
      </c>
      <c r="V100" s="18" t="s">
        <v>183</v>
      </c>
    </row>
    <row r="101" spans="1:22" x14ac:dyDescent="0.25">
      <c r="A101" s="10">
        <v>100</v>
      </c>
      <c r="B101" s="13">
        <v>826785</v>
      </c>
      <c r="C101" s="13">
        <v>826425</v>
      </c>
      <c r="D101" s="9">
        <v>1106.9000000000001</v>
      </c>
      <c r="E101" s="9">
        <v>184.9</v>
      </c>
      <c r="F101" s="11">
        <v>1.4426000000000001</v>
      </c>
      <c r="G101" s="13">
        <v>1761</v>
      </c>
      <c r="H101" s="13">
        <v>26357</v>
      </c>
      <c r="I101" s="10">
        <v>80</v>
      </c>
      <c r="J101" s="13">
        <v>114</v>
      </c>
      <c r="K101" s="13">
        <v>1123</v>
      </c>
      <c r="L101" s="13">
        <v>274</v>
      </c>
      <c r="M101" s="13">
        <v>250</v>
      </c>
      <c r="N101" s="13">
        <v>0</v>
      </c>
      <c r="O101" s="13">
        <v>0</v>
      </c>
      <c r="P101" s="13">
        <v>40</v>
      </c>
      <c r="Q101" s="13">
        <v>349</v>
      </c>
      <c r="R101" s="17">
        <v>24</v>
      </c>
      <c r="S101" s="13">
        <v>13011</v>
      </c>
      <c r="T101" s="13">
        <v>0</v>
      </c>
      <c r="U101" s="18" t="s">
        <v>181</v>
      </c>
      <c r="V101" s="18" t="s">
        <v>56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101"/>
  <sheetViews>
    <sheetView workbookViewId="0">
      <pane ySplit="1" topLeftCell="A2" activePane="bottomLeft" state="frozen"/>
      <selection pane="bottomLeft"/>
    </sheetView>
  </sheetViews>
  <sheetFormatPr baseColWidth="10" defaultColWidth="9.140625" defaultRowHeight="15" x14ac:dyDescent="0.25"/>
  <cols>
    <col min="1" max="21" width="15" customWidth="1"/>
    <col min="22" max="23" width="30" customWidth="1"/>
  </cols>
  <sheetData>
    <row r="1" spans="1:23" ht="45" customHeight="1" x14ac:dyDescent="0.25">
      <c r="A1" s="7" t="s">
        <v>5</v>
      </c>
      <c r="B1" s="7" t="s">
        <v>160</v>
      </c>
      <c r="C1" s="7" t="s">
        <v>161</v>
      </c>
      <c r="D1" s="7" t="s">
        <v>31</v>
      </c>
      <c r="E1" s="7" t="s">
        <v>48</v>
      </c>
      <c r="F1" s="7" t="s">
        <v>162</v>
      </c>
      <c r="G1" s="7" t="s">
        <v>169</v>
      </c>
      <c r="H1" s="7" t="s">
        <v>164</v>
      </c>
      <c r="I1" s="7" t="s">
        <v>165</v>
      </c>
      <c r="J1" s="7" t="s">
        <v>170</v>
      </c>
      <c r="K1" s="7" t="s">
        <v>171</v>
      </c>
      <c r="L1" s="7" t="s">
        <v>172</v>
      </c>
      <c r="M1" s="7" t="s">
        <v>173</v>
      </c>
      <c r="N1" s="7" t="s">
        <v>174</v>
      </c>
      <c r="O1" s="7" t="s">
        <v>190</v>
      </c>
      <c r="P1" s="7" t="s">
        <v>175</v>
      </c>
      <c r="Q1" s="7" t="s">
        <v>166</v>
      </c>
      <c r="R1" s="7" t="s">
        <v>176</v>
      </c>
      <c r="S1" s="7" t="s">
        <v>167</v>
      </c>
      <c r="T1" s="7" t="s">
        <v>177</v>
      </c>
      <c r="U1" s="7" t="s">
        <v>178</v>
      </c>
      <c r="V1" s="7" t="s">
        <v>179</v>
      </c>
      <c r="W1" s="7" t="s">
        <v>180</v>
      </c>
    </row>
    <row r="2" spans="1:23" x14ac:dyDescent="0.25">
      <c r="A2" s="10">
        <v>1</v>
      </c>
      <c r="B2" s="13">
        <v>910215</v>
      </c>
      <c r="C2" s="13">
        <v>909527</v>
      </c>
      <c r="D2" s="9">
        <v>1065.5999999999999</v>
      </c>
      <c r="E2" s="9">
        <v>176.2</v>
      </c>
      <c r="F2" s="11">
        <v>1.4661999999999999</v>
      </c>
      <c r="G2" s="13">
        <v>1916</v>
      </c>
      <c r="H2" s="13">
        <v>28537</v>
      </c>
      <c r="I2" s="10">
        <v>108</v>
      </c>
      <c r="J2" s="13">
        <v>294</v>
      </c>
      <c r="K2" s="13">
        <v>1547</v>
      </c>
      <c r="L2" s="13">
        <v>0</v>
      </c>
      <c r="M2" s="13">
        <v>75</v>
      </c>
      <c r="N2" s="13">
        <v>0</v>
      </c>
      <c r="O2" s="13">
        <v>0</v>
      </c>
      <c r="P2" s="13">
        <v>0</v>
      </c>
      <c r="Q2" s="13">
        <v>55</v>
      </c>
      <c r="R2" s="13">
        <v>514</v>
      </c>
      <c r="S2" s="17">
        <v>25.47</v>
      </c>
      <c r="T2" s="13">
        <v>5813</v>
      </c>
      <c r="U2" s="13">
        <v>8181</v>
      </c>
      <c r="V2" s="18" t="s">
        <v>181</v>
      </c>
      <c r="W2" s="18" t="s">
        <v>56</v>
      </c>
    </row>
    <row r="3" spans="1:23" x14ac:dyDescent="0.25">
      <c r="A3" s="10">
        <v>2</v>
      </c>
      <c r="B3" s="13">
        <v>911792</v>
      </c>
      <c r="C3" s="13">
        <v>911190</v>
      </c>
      <c r="D3" s="9">
        <v>1065.8</v>
      </c>
      <c r="E3" s="9">
        <v>176.2</v>
      </c>
      <c r="F3" s="11">
        <v>1.4655</v>
      </c>
      <c r="G3" s="13">
        <v>1583</v>
      </c>
      <c r="H3" s="13">
        <v>27917</v>
      </c>
      <c r="I3" s="10">
        <v>102</v>
      </c>
      <c r="J3" s="13">
        <v>551</v>
      </c>
      <c r="K3" s="13">
        <v>973</v>
      </c>
      <c r="L3" s="13">
        <v>0</v>
      </c>
      <c r="M3" s="13">
        <v>59</v>
      </c>
      <c r="N3" s="13">
        <v>0</v>
      </c>
      <c r="O3" s="13">
        <v>0</v>
      </c>
      <c r="P3" s="13">
        <v>0</v>
      </c>
      <c r="Q3" s="13">
        <v>27</v>
      </c>
      <c r="R3" s="13">
        <v>228</v>
      </c>
      <c r="S3" s="17">
        <v>25.47</v>
      </c>
      <c r="T3" s="13">
        <v>5598</v>
      </c>
      <c r="U3" s="13">
        <v>8133</v>
      </c>
      <c r="V3" s="18" t="s">
        <v>181</v>
      </c>
      <c r="W3" s="18" t="s">
        <v>56</v>
      </c>
    </row>
    <row r="4" spans="1:23" x14ac:dyDescent="0.25">
      <c r="A4" s="10">
        <v>3</v>
      </c>
      <c r="B4" s="13">
        <v>913110</v>
      </c>
      <c r="C4" s="13">
        <v>912512</v>
      </c>
      <c r="D4" s="9">
        <v>1065.5</v>
      </c>
      <c r="E4" s="9">
        <v>176.7</v>
      </c>
      <c r="F4" s="11">
        <v>1.4656</v>
      </c>
      <c r="G4" s="13">
        <v>5126</v>
      </c>
      <c r="H4" s="13">
        <v>28402</v>
      </c>
      <c r="I4" s="10">
        <v>103</v>
      </c>
      <c r="J4" s="13">
        <v>505</v>
      </c>
      <c r="K4" s="13">
        <v>4416</v>
      </c>
      <c r="L4" s="13">
        <v>0</v>
      </c>
      <c r="M4" s="13">
        <v>0</v>
      </c>
      <c r="N4" s="13">
        <v>205</v>
      </c>
      <c r="O4" s="13">
        <v>0</v>
      </c>
      <c r="P4" s="13">
        <v>0</v>
      </c>
      <c r="Q4" s="13">
        <v>60</v>
      </c>
      <c r="R4" s="13">
        <v>595</v>
      </c>
      <c r="S4" s="17">
        <v>25.46</v>
      </c>
      <c r="T4" s="13">
        <v>5723</v>
      </c>
      <c r="U4" s="13">
        <v>8089</v>
      </c>
      <c r="V4" s="18" t="s">
        <v>181</v>
      </c>
      <c r="W4" s="18" t="s">
        <v>56</v>
      </c>
    </row>
    <row r="5" spans="1:23" x14ac:dyDescent="0.25">
      <c r="A5" s="10">
        <v>4</v>
      </c>
      <c r="B5" s="13">
        <v>910862</v>
      </c>
      <c r="C5" s="13">
        <v>910295</v>
      </c>
      <c r="D5" s="9">
        <v>1063.9000000000001</v>
      </c>
      <c r="E5" s="9">
        <v>174.7</v>
      </c>
      <c r="F5" s="11">
        <v>1.4649000000000001</v>
      </c>
      <c r="G5" s="13">
        <v>1245</v>
      </c>
      <c r="H5" s="13">
        <v>28218</v>
      </c>
      <c r="I5" s="10">
        <v>103</v>
      </c>
      <c r="J5" s="13">
        <v>126</v>
      </c>
      <c r="K5" s="13">
        <v>1044</v>
      </c>
      <c r="L5" s="13">
        <v>13</v>
      </c>
      <c r="M5" s="13">
        <v>0</v>
      </c>
      <c r="N5" s="13">
        <v>62</v>
      </c>
      <c r="O5" s="13">
        <v>0</v>
      </c>
      <c r="P5" s="13">
        <v>0</v>
      </c>
      <c r="Q5" s="13">
        <v>25</v>
      </c>
      <c r="R5" s="13">
        <v>288</v>
      </c>
      <c r="S5" s="17">
        <v>25.47</v>
      </c>
      <c r="T5" s="13">
        <v>5638</v>
      </c>
      <c r="U5" s="13">
        <v>8283</v>
      </c>
      <c r="V5" s="18" t="s">
        <v>181</v>
      </c>
      <c r="W5" s="18" t="s">
        <v>56</v>
      </c>
    </row>
    <row r="6" spans="1:23" x14ac:dyDescent="0.25">
      <c r="A6" s="10">
        <v>5</v>
      </c>
      <c r="B6" s="13">
        <v>909719</v>
      </c>
      <c r="C6" s="13">
        <v>909196</v>
      </c>
      <c r="D6" s="9">
        <v>1066.2</v>
      </c>
      <c r="E6" s="9">
        <v>177.5</v>
      </c>
      <c r="F6" s="11">
        <v>1.4656</v>
      </c>
      <c r="G6" s="13">
        <v>3823</v>
      </c>
      <c r="H6" s="13">
        <v>28067</v>
      </c>
      <c r="I6" s="10">
        <v>104</v>
      </c>
      <c r="J6" s="13">
        <v>1759</v>
      </c>
      <c r="K6" s="13">
        <v>2038</v>
      </c>
      <c r="L6" s="13">
        <v>0</v>
      </c>
      <c r="M6" s="13">
        <v>0</v>
      </c>
      <c r="N6" s="13">
        <v>26</v>
      </c>
      <c r="O6" s="13">
        <v>0</v>
      </c>
      <c r="P6" s="13">
        <v>0</v>
      </c>
      <c r="Q6" s="13">
        <v>30</v>
      </c>
      <c r="R6" s="13">
        <v>326</v>
      </c>
      <c r="S6" s="17">
        <v>25.47</v>
      </c>
      <c r="T6" s="13">
        <v>5475</v>
      </c>
      <c r="U6" s="13">
        <v>8096</v>
      </c>
      <c r="V6" s="18" t="s">
        <v>182</v>
      </c>
      <c r="W6" s="18" t="s">
        <v>183</v>
      </c>
    </row>
    <row r="7" spans="1:23" x14ac:dyDescent="0.25">
      <c r="A7" s="10">
        <v>6</v>
      </c>
      <c r="B7" s="13">
        <v>911470</v>
      </c>
      <c r="C7" s="13">
        <v>910940</v>
      </c>
      <c r="D7" s="9">
        <v>1064.5</v>
      </c>
      <c r="E7" s="9">
        <v>174.9</v>
      </c>
      <c r="F7" s="11">
        <v>1.4653</v>
      </c>
      <c r="G7" s="13">
        <v>1892</v>
      </c>
      <c r="H7" s="13">
        <v>28817</v>
      </c>
      <c r="I7" s="10">
        <v>104</v>
      </c>
      <c r="J7" s="13">
        <v>211</v>
      </c>
      <c r="K7" s="13">
        <v>1054</v>
      </c>
      <c r="L7" s="13">
        <v>0</v>
      </c>
      <c r="M7" s="13">
        <v>412</v>
      </c>
      <c r="N7" s="13">
        <v>215</v>
      </c>
      <c r="O7" s="13">
        <v>0</v>
      </c>
      <c r="P7" s="13">
        <v>0</v>
      </c>
      <c r="Q7" s="13">
        <v>33</v>
      </c>
      <c r="R7" s="13">
        <v>328</v>
      </c>
      <c r="S7" s="17">
        <v>25.46</v>
      </c>
      <c r="T7" s="13">
        <v>5748</v>
      </c>
      <c r="U7" s="13">
        <v>7984</v>
      </c>
      <c r="V7" s="18" t="s">
        <v>181</v>
      </c>
      <c r="W7" s="18" t="s">
        <v>56</v>
      </c>
    </row>
    <row r="8" spans="1:23" x14ac:dyDescent="0.25">
      <c r="A8" s="10">
        <v>7</v>
      </c>
      <c r="B8" s="13">
        <v>910156</v>
      </c>
      <c r="C8" s="13">
        <v>909581</v>
      </c>
      <c r="D8" s="9">
        <v>1068.2</v>
      </c>
      <c r="E8" s="9">
        <v>178.7</v>
      </c>
      <c r="F8" s="11">
        <v>1.466</v>
      </c>
      <c r="G8" s="13">
        <v>5187</v>
      </c>
      <c r="H8" s="13">
        <v>28118</v>
      </c>
      <c r="I8" s="10">
        <v>104</v>
      </c>
      <c r="J8" s="13">
        <v>498</v>
      </c>
      <c r="K8" s="13">
        <v>2962</v>
      </c>
      <c r="L8" s="13">
        <v>0</v>
      </c>
      <c r="M8" s="13">
        <v>1341</v>
      </c>
      <c r="N8" s="13">
        <v>386</v>
      </c>
      <c r="O8" s="13">
        <v>0</v>
      </c>
      <c r="P8" s="13">
        <v>0</v>
      </c>
      <c r="Q8" s="13">
        <v>45</v>
      </c>
      <c r="R8" s="13">
        <v>367</v>
      </c>
      <c r="S8" s="17">
        <v>25.47</v>
      </c>
      <c r="T8" s="13">
        <v>5706</v>
      </c>
      <c r="U8" s="13">
        <v>8099</v>
      </c>
      <c r="V8" s="18" t="s">
        <v>181</v>
      </c>
      <c r="W8" s="18" t="s">
        <v>56</v>
      </c>
    </row>
    <row r="9" spans="1:23" x14ac:dyDescent="0.25">
      <c r="A9" s="10">
        <v>8</v>
      </c>
      <c r="B9" s="13">
        <v>911690</v>
      </c>
      <c r="C9" s="13">
        <v>911092</v>
      </c>
      <c r="D9" s="9">
        <v>1067.5999999999999</v>
      </c>
      <c r="E9" s="9">
        <v>178.3</v>
      </c>
      <c r="F9" s="11">
        <v>1.466</v>
      </c>
      <c r="G9" s="13">
        <v>3154</v>
      </c>
      <c r="H9" s="13">
        <v>28357</v>
      </c>
      <c r="I9" s="10">
        <v>101</v>
      </c>
      <c r="J9" s="13">
        <v>496</v>
      </c>
      <c r="K9" s="13">
        <v>2457</v>
      </c>
      <c r="L9" s="13">
        <v>0</v>
      </c>
      <c r="M9" s="13">
        <v>0</v>
      </c>
      <c r="N9" s="13">
        <v>201</v>
      </c>
      <c r="O9" s="13">
        <v>0</v>
      </c>
      <c r="P9" s="13">
        <v>0</v>
      </c>
      <c r="Q9" s="13">
        <v>28</v>
      </c>
      <c r="R9" s="13">
        <v>265</v>
      </c>
      <c r="S9" s="17">
        <v>25.48</v>
      </c>
      <c r="T9" s="13">
        <v>5781</v>
      </c>
      <c r="U9" s="13">
        <v>8275</v>
      </c>
      <c r="V9" s="18" t="s">
        <v>181</v>
      </c>
      <c r="W9" s="18" t="s">
        <v>56</v>
      </c>
    </row>
    <row r="10" spans="1:23" x14ac:dyDescent="0.25">
      <c r="A10" s="10">
        <v>9</v>
      </c>
      <c r="B10" s="13">
        <v>910376</v>
      </c>
      <c r="C10" s="13">
        <v>909786</v>
      </c>
      <c r="D10" s="9">
        <v>1061.3</v>
      </c>
      <c r="E10" s="9">
        <v>173.2</v>
      </c>
      <c r="F10" s="11">
        <v>1.4643999999999999</v>
      </c>
      <c r="G10" s="13">
        <v>658</v>
      </c>
      <c r="H10" s="13">
        <v>27727</v>
      </c>
      <c r="I10" s="10">
        <v>106</v>
      </c>
      <c r="J10" s="13">
        <v>496</v>
      </c>
      <c r="K10" s="13">
        <v>124</v>
      </c>
      <c r="L10" s="13">
        <v>0</v>
      </c>
      <c r="M10" s="13">
        <v>23</v>
      </c>
      <c r="N10" s="13">
        <v>15</v>
      </c>
      <c r="O10" s="13">
        <v>0</v>
      </c>
      <c r="P10" s="13">
        <v>0</v>
      </c>
      <c r="Q10" s="13">
        <v>40</v>
      </c>
      <c r="R10" s="13">
        <v>452</v>
      </c>
      <c r="S10" s="17">
        <v>25.46</v>
      </c>
      <c r="T10" s="13">
        <v>5510</v>
      </c>
      <c r="U10" s="13">
        <v>7829</v>
      </c>
      <c r="V10" s="18" t="s">
        <v>181</v>
      </c>
      <c r="W10" s="18" t="s">
        <v>56</v>
      </c>
    </row>
    <row r="11" spans="1:23" x14ac:dyDescent="0.25">
      <c r="A11" s="10">
        <v>10</v>
      </c>
      <c r="B11" s="13">
        <v>910887</v>
      </c>
      <c r="C11" s="13">
        <v>910286</v>
      </c>
      <c r="D11" s="9">
        <v>1066.3</v>
      </c>
      <c r="E11" s="9">
        <v>178.1</v>
      </c>
      <c r="F11" s="11">
        <v>1.4648000000000001</v>
      </c>
      <c r="G11" s="13">
        <v>9247</v>
      </c>
      <c r="H11" s="13">
        <v>28433</v>
      </c>
      <c r="I11" s="10">
        <v>106</v>
      </c>
      <c r="J11" s="13">
        <v>563</v>
      </c>
      <c r="K11" s="13">
        <v>8540</v>
      </c>
      <c r="L11" s="13">
        <v>0</v>
      </c>
      <c r="M11" s="13">
        <v>122</v>
      </c>
      <c r="N11" s="13">
        <v>22</v>
      </c>
      <c r="O11" s="13">
        <v>0</v>
      </c>
      <c r="P11" s="13">
        <v>0</v>
      </c>
      <c r="Q11" s="13">
        <v>39</v>
      </c>
      <c r="R11" s="13">
        <v>366</v>
      </c>
      <c r="S11" s="17">
        <v>25.46</v>
      </c>
      <c r="T11" s="13">
        <v>5698</v>
      </c>
      <c r="U11" s="13">
        <v>8145</v>
      </c>
      <c r="V11" s="18" t="s">
        <v>182</v>
      </c>
      <c r="W11" s="18" t="s">
        <v>183</v>
      </c>
    </row>
    <row r="12" spans="1:23" x14ac:dyDescent="0.25">
      <c r="A12" s="10">
        <v>11</v>
      </c>
      <c r="B12" s="13">
        <v>911509</v>
      </c>
      <c r="C12" s="13">
        <v>910901</v>
      </c>
      <c r="D12" s="9">
        <v>1066.8</v>
      </c>
      <c r="E12" s="9">
        <v>178.3</v>
      </c>
      <c r="F12" s="11">
        <v>1.4655</v>
      </c>
      <c r="G12" s="13">
        <v>9988</v>
      </c>
      <c r="H12" s="13">
        <v>27996</v>
      </c>
      <c r="I12" s="10">
        <v>105</v>
      </c>
      <c r="J12" s="13">
        <v>3471</v>
      </c>
      <c r="K12" s="13">
        <v>4873</v>
      </c>
      <c r="L12" s="13">
        <v>0</v>
      </c>
      <c r="M12" s="13">
        <v>1464</v>
      </c>
      <c r="N12" s="13">
        <v>180</v>
      </c>
      <c r="O12" s="13">
        <v>0</v>
      </c>
      <c r="P12" s="13">
        <v>0</v>
      </c>
      <c r="Q12" s="13">
        <v>29</v>
      </c>
      <c r="R12" s="13">
        <v>261</v>
      </c>
      <c r="S12" s="17">
        <v>25.47</v>
      </c>
      <c r="T12" s="13">
        <v>5798</v>
      </c>
      <c r="U12" s="13">
        <v>8106</v>
      </c>
      <c r="V12" s="18" t="s">
        <v>181</v>
      </c>
      <c r="W12" s="18" t="s">
        <v>56</v>
      </c>
    </row>
    <row r="13" spans="1:23" x14ac:dyDescent="0.25">
      <c r="A13" s="10">
        <v>12</v>
      </c>
      <c r="B13" s="13">
        <v>910671</v>
      </c>
      <c r="C13" s="13">
        <v>910104</v>
      </c>
      <c r="D13" s="9">
        <v>1063.2</v>
      </c>
      <c r="E13" s="9">
        <v>174.3</v>
      </c>
      <c r="F13" s="11">
        <v>1.4656</v>
      </c>
      <c r="G13" s="13">
        <v>1664</v>
      </c>
      <c r="H13" s="13">
        <v>28070</v>
      </c>
      <c r="I13" s="10">
        <v>104</v>
      </c>
      <c r="J13" s="13">
        <v>101</v>
      </c>
      <c r="K13" s="13">
        <v>1563</v>
      </c>
      <c r="L13" s="13">
        <v>0</v>
      </c>
      <c r="M13" s="13">
        <v>0</v>
      </c>
      <c r="N13" s="13">
        <v>0</v>
      </c>
      <c r="O13" s="13">
        <v>0</v>
      </c>
      <c r="P13" s="13">
        <v>0</v>
      </c>
      <c r="Q13" s="13">
        <v>27</v>
      </c>
      <c r="R13" s="13">
        <v>246</v>
      </c>
      <c r="S13" s="17">
        <v>25.46</v>
      </c>
      <c r="T13" s="13">
        <v>5574</v>
      </c>
      <c r="U13" s="13">
        <v>8044</v>
      </c>
      <c r="V13" s="18" t="s">
        <v>181</v>
      </c>
      <c r="W13" s="18" t="s">
        <v>56</v>
      </c>
    </row>
    <row r="14" spans="1:23" x14ac:dyDescent="0.25">
      <c r="A14" s="10">
        <v>13</v>
      </c>
      <c r="B14" s="13">
        <v>909202</v>
      </c>
      <c r="C14" s="13">
        <v>908599</v>
      </c>
      <c r="D14" s="9">
        <v>1064.5</v>
      </c>
      <c r="E14" s="9">
        <v>175.5</v>
      </c>
      <c r="F14" s="11">
        <v>1.4657</v>
      </c>
      <c r="G14" s="13">
        <v>1673</v>
      </c>
      <c r="H14" s="13">
        <v>28166</v>
      </c>
      <c r="I14" s="10">
        <v>105</v>
      </c>
      <c r="J14" s="13">
        <v>129</v>
      </c>
      <c r="K14" s="13">
        <v>1459</v>
      </c>
      <c r="L14" s="13">
        <v>0</v>
      </c>
      <c r="M14" s="13">
        <v>85</v>
      </c>
      <c r="N14" s="13">
        <v>0</v>
      </c>
      <c r="O14" s="13">
        <v>0</v>
      </c>
      <c r="P14" s="13">
        <v>0</v>
      </c>
      <c r="Q14" s="13">
        <v>53</v>
      </c>
      <c r="R14" s="13">
        <v>637</v>
      </c>
      <c r="S14" s="17">
        <v>25.46</v>
      </c>
      <c r="T14" s="13">
        <v>5484</v>
      </c>
      <c r="U14" s="13">
        <v>8046</v>
      </c>
      <c r="V14" s="18" t="s">
        <v>181</v>
      </c>
      <c r="W14" s="18" t="s">
        <v>56</v>
      </c>
    </row>
    <row r="15" spans="1:23" x14ac:dyDescent="0.25">
      <c r="A15" s="10">
        <v>14</v>
      </c>
      <c r="B15" s="13">
        <v>909911</v>
      </c>
      <c r="C15" s="13">
        <v>909298</v>
      </c>
      <c r="D15" s="9">
        <v>1064.5999999999999</v>
      </c>
      <c r="E15" s="9">
        <v>175.1</v>
      </c>
      <c r="F15" s="11">
        <v>1.4661999999999999</v>
      </c>
      <c r="G15" s="13">
        <v>2232</v>
      </c>
      <c r="H15" s="13">
        <v>28309</v>
      </c>
      <c r="I15" s="10">
        <v>106</v>
      </c>
      <c r="J15" s="13">
        <v>462</v>
      </c>
      <c r="K15" s="13">
        <v>1112</v>
      </c>
      <c r="L15" s="13">
        <v>92</v>
      </c>
      <c r="M15" s="13">
        <v>0</v>
      </c>
      <c r="N15" s="13">
        <v>566</v>
      </c>
      <c r="O15" s="13">
        <v>0</v>
      </c>
      <c r="P15" s="13">
        <v>0</v>
      </c>
      <c r="Q15" s="13">
        <v>38</v>
      </c>
      <c r="R15" s="13">
        <v>465</v>
      </c>
      <c r="S15" s="17">
        <v>25.46</v>
      </c>
      <c r="T15" s="13">
        <v>5686</v>
      </c>
      <c r="U15" s="13">
        <v>8006</v>
      </c>
      <c r="V15" s="18" t="s">
        <v>182</v>
      </c>
      <c r="W15" s="18" t="s">
        <v>183</v>
      </c>
    </row>
    <row r="16" spans="1:23" x14ac:dyDescent="0.25">
      <c r="A16" s="10">
        <v>15</v>
      </c>
      <c r="B16" s="13">
        <v>911379</v>
      </c>
      <c r="C16" s="13">
        <v>910845</v>
      </c>
      <c r="D16" s="9">
        <v>1068.0999999999999</v>
      </c>
      <c r="E16" s="9">
        <v>178.7</v>
      </c>
      <c r="F16" s="11">
        <v>1.4664999999999999</v>
      </c>
      <c r="G16" s="13">
        <v>5529</v>
      </c>
      <c r="H16" s="13">
        <v>28205</v>
      </c>
      <c r="I16" s="10">
        <v>104</v>
      </c>
      <c r="J16" s="13">
        <v>1477</v>
      </c>
      <c r="K16" s="13">
        <v>3410</v>
      </c>
      <c r="L16" s="13">
        <v>0</v>
      </c>
      <c r="M16" s="13">
        <v>0</v>
      </c>
      <c r="N16" s="13">
        <v>642</v>
      </c>
      <c r="O16" s="13">
        <v>0</v>
      </c>
      <c r="P16" s="13">
        <v>0</v>
      </c>
      <c r="Q16" s="13">
        <v>38</v>
      </c>
      <c r="R16" s="13">
        <v>377</v>
      </c>
      <c r="S16" s="17">
        <v>25.47</v>
      </c>
      <c r="T16" s="13">
        <v>5634</v>
      </c>
      <c r="U16" s="13">
        <v>8094</v>
      </c>
      <c r="V16" s="18" t="s">
        <v>181</v>
      </c>
      <c r="W16" s="18" t="s">
        <v>56</v>
      </c>
    </row>
    <row r="17" spans="1:23" x14ac:dyDescent="0.25">
      <c r="A17" s="10">
        <v>16</v>
      </c>
      <c r="B17" s="13">
        <v>910395</v>
      </c>
      <c r="C17" s="13">
        <v>909893</v>
      </c>
      <c r="D17" s="9">
        <v>1064.0999999999999</v>
      </c>
      <c r="E17" s="9">
        <v>174.8</v>
      </c>
      <c r="F17" s="11">
        <v>1.4664999999999999</v>
      </c>
      <c r="G17" s="13">
        <v>2117</v>
      </c>
      <c r="H17" s="13">
        <v>28314</v>
      </c>
      <c r="I17" s="10">
        <v>102</v>
      </c>
      <c r="J17" s="13">
        <v>583</v>
      </c>
      <c r="K17" s="13">
        <v>1489</v>
      </c>
      <c r="L17" s="13">
        <v>0</v>
      </c>
      <c r="M17" s="13">
        <v>45</v>
      </c>
      <c r="N17" s="13">
        <v>0</v>
      </c>
      <c r="O17" s="13">
        <v>0</v>
      </c>
      <c r="P17" s="13">
        <v>0</v>
      </c>
      <c r="Q17" s="13">
        <v>38</v>
      </c>
      <c r="R17" s="13">
        <v>358</v>
      </c>
      <c r="S17" s="17">
        <v>25.46</v>
      </c>
      <c r="T17" s="13">
        <v>5520</v>
      </c>
      <c r="U17" s="13">
        <v>8022</v>
      </c>
      <c r="V17" s="18" t="s">
        <v>182</v>
      </c>
      <c r="W17" s="18" t="s">
        <v>183</v>
      </c>
    </row>
    <row r="18" spans="1:23" x14ac:dyDescent="0.25">
      <c r="A18" s="10">
        <v>17</v>
      </c>
      <c r="B18" s="13">
        <v>909459</v>
      </c>
      <c r="C18" s="13">
        <v>908892</v>
      </c>
      <c r="D18" s="9">
        <v>1067.4000000000001</v>
      </c>
      <c r="E18" s="9">
        <v>177.5</v>
      </c>
      <c r="F18" s="11">
        <v>1.4668000000000001</v>
      </c>
      <c r="G18" s="13">
        <v>7407</v>
      </c>
      <c r="H18" s="13">
        <v>28562</v>
      </c>
      <c r="I18" s="10">
        <v>105</v>
      </c>
      <c r="J18" s="13">
        <v>1027</v>
      </c>
      <c r="K18" s="13">
        <v>6380</v>
      </c>
      <c r="L18" s="13">
        <v>0</v>
      </c>
      <c r="M18" s="13">
        <v>0</v>
      </c>
      <c r="N18" s="13">
        <v>0</v>
      </c>
      <c r="O18" s="13">
        <v>0</v>
      </c>
      <c r="P18" s="13">
        <v>0</v>
      </c>
      <c r="Q18" s="13">
        <v>48</v>
      </c>
      <c r="R18" s="13">
        <v>393</v>
      </c>
      <c r="S18" s="17">
        <v>25.47</v>
      </c>
      <c r="T18" s="13">
        <v>5493</v>
      </c>
      <c r="U18" s="13">
        <v>8081</v>
      </c>
      <c r="V18" s="18" t="s">
        <v>181</v>
      </c>
      <c r="W18" s="18" t="s">
        <v>56</v>
      </c>
    </row>
    <row r="19" spans="1:23" x14ac:dyDescent="0.25">
      <c r="A19" s="10">
        <v>18</v>
      </c>
      <c r="B19" s="13">
        <v>911170</v>
      </c>
      <c r="C19" s="13">
        <v>910524</v>
      </c>
      <c r="D19" s="9">
        <v>1064.0999999999999</v>
      </c>
      <c r="E19" s="9">
        <v>175.4</v>
      </c>
      <c r="F19" s="11">
        <v>1.4657</v>
      </c>
      <c r="G19" s="13">
        <v>2198</v>
      </c>
      <c r="H19" s="13">
        <v>28322</v>
      </c>
      <c r="I19" s="10">
        <v>107</v>
      </c>
      <c r="J19" s="13">
        <v>370</v>
      </c>
      <c r="K19" s="13">
        <v>1822</v>
      </c>
      <c r="L19" s="13">
        <v>0</v>
      </c>
      <c r="M19" s="13">
        <v>0</v>
      </c>
      <c r="N19" s="13">
        <v>6</v>
      </c>
      <c r="O19" s="13">
        <v>0</v>
      </c>
      <c r="P19" s="13">
        <v>0</v>
      </c>
      <c r="Q19" s="13">
        <v>37</v>
      </c>
      <c r="R19" s="13">
        <v>330</v>
      </c>
      <c r="S19" s="17">
        <v>25.47</v>
      </c>
      <c r="T19" s="13">
        <v>5672</v>
      </c>
      <c r="U19" s="13">
        <v>8250</v>
      </c>
      <c r="V19" s="18" t="s">
        <v>182</v>
      </c>
      <c r="W19" s="18" t="s">
        <v>183</v>
      </c>
    </row>
    <row r="20" spans="1:23" x14ac:dyDescent="0.25">
      <c r="A20" s="10">
        <v>19</v>
      </c>
      <c r="B20" s="13">
        <v>910320</v>
      </c>
      <c r="C20" s="13">
        <v>909736</v>
      </c>
      <c r="D20" s="9">
        <v>1065.8</v>
      </c>
      <c r="E20" s="9">
        <v>176.3</v>
      </c>
      <c r="F20" s="11">
        <v>1.4649000000000001</v>
      </c>
      <c r="G20" s="13">
        <v>4009</v>
      </c>
      <c r="H20" s="13">
        <v>28147</v>
      </c>
      <c r="I20" s="10">
        <v>103</v>
      </c>
      <c r="J20" s="13">
        <v>279</v>
      </c>
      <c r="K20" s="13">
        <v>3682</v>
      </c>
      <c r="L20" s="13">
        <v>0</v>
      </c>
      <c r="M20" s="13">
        <v>0</v>
      </c>
      <c r="N20" s="13">
        <v>48</v>
      </c>
      <c r="O20" s="13">
        <v>0</v>
      </c>
      <c r="P20" s="13">
        <v>0</v>
      </c>
      <c r="Q20" s="13">
        <v>41</v>
      </c>
      <c r="R20" s="13">
        <v>401</v>
      </c>
      <c r="S20" s="17">
        <v>25.47</v>
      </c>
      <c r="T20" s="13">
        <v>5962</v>
      </c>
      <c r="U20" s="13">
        <v>8115</v>
      </c>
      <c r="V20" s="18" t="s">
        <v>181</v>
      </c>
      <c r="W20" s="18" t="s">
        <v>56</v>
      </c>
    </row>
    <row r="21" spans="1:23" x14ac:dyDescent="0.25">
      <c r="A21" s="10">
        <v>20</v>
      </c>
      <c r="B21" s="13">
        <v>910964</v>
      </c>
      <c r="C21" s="13">
        <v>910404</v>
      </c>
      <c r="D21" s="9">
        <v>1064.2</v>
      </c>
      <c r="E21" s="9">
        <v>175.5</v>
      </c>
      <c r="F21" s="11">
        <v>1.4646999999999999</v>
      </c>
      <c r="G21" s="13">
        <v>3023</v>
      </c>
      <c r="H21" s="13">
        <v>28246</v>
      </c>
      <c r="I21" s="10">
        <v>108</v>
      </c>
      <c r="J21" s="13">
        <v>1048</v>
      </c>
      <c r="K21" s="13">
        <v>1975</v>
      </c>
      <c r="L21" s="13">
        <v>0</v>
      </c>
      <c r="M21" s="13">
        <v>0</v>
      </c>
      <c r="N21" s="13">
        <v>0</v>
      </c>
      <c r="O21" s="13">
        <v>0</v>
      </c>
      <c r="P21" s="13">
        <v>0</v>
      </c>
      <c r="Q21" s="13">
        <v>33</v>
      </c>
      <c r="R21" s="13">
        <v>280</v>
      </c>
      <c r="S21" s="17">
        <v>25.46</v>
      </c>
      <c r="T21" s="13">
        <v>5720</v>
      </c>
      <c r="U21" s="13">
        <v>8182</v>
      </c>
      <c r="V21" s="18" t="s">
        <v>181</v>
      </c>
      <c r="W21" s="18" t="s">
        <v>56</v>
      </c>
    </row>
    <row r="22" spans="1:23" x14ac:dyDescent="0.25">
      <c r="A22" s="10">
        <v>21</v>
      </c>
      <c r="B22" s="13">
        <v>910671</v>
      </c>
      <c r="C22" s="13">
        <v>910081</v>
      </c>
      <c r="D22" s="9">
        <v>1066</v>
      </c>
      <c r="E22" s="9">
        <v>176.7</v>
      </c>
      <c r="F22" s="11">
        <v>1.4655</v>
      </c>
      <c r="G22" s="13">
        <v>4182</v>
      </c>
      <c r="H22" s="13">
        <v>27848</v>
      </c>
      <c r="I22" s="10">
        <v>103</v>
      </c>
      <c r="J22" s="13">
        <v>413</v>
      </c>
      <c r="K22" s="13">
        <v>2948</v>
      </c>
      <c r="L22" s="13">
        <v>0</v>
      </c>
      <c r="M22" s="13">
        <v>802</v>
      </c>
      <c r="N22" s="13">
        <v>19</v>
      </c>
      <c r="O22" s="13">
        <v>0</v>
      </c>
      <c r="P22" s="13">
        <v>0</v>
      </c>
      <c r="Q22" s="13">
        <v>38</v>
      </c>
      <c r="R22" s="13">
        <v>333</v>
      </c>
      <c r="S22" s="17">
        <v>25.47</v>
      </c>
      <c r="T22" s="13">
        <v>5607</v>
      </c>
      <c r="U22" s="13">
        <v>8018</v>
      </c>
      <c r="V22" s="18" t="s">
        <v>181</v>
      </c>
      <c r="W22" s="18" t="s">
        <v>56</v>
      </c>
    </row>
    <row r="23" spans="1:23" x14ac:dyDescent="0.25">
      <c r="A23" s="10">
        <v>22</v>
      </c>
      <c r="B23" s="13">
        <v>911514</v>
      </c>
      <c r="C23" s="13">
        <v>910930</v>
      </c>
      <c r="D23" s="9">
        <v>1066</v>
      </c>
      <c r="E23" s="9">
        <v>177.1</v>
      </c>
      <c r="F23" s="11">
        <v>1.4661</v>
      </c>
      <c r="G23" s="13">
        <v>3682</v>
      </c>
      <c r="H23" s="13">
        <v>28426</v>
      </c>
      <c r="I23" s="10">
        <v>104</v>
      </c>
      <c r="J23" s="13">
        <v>110</v>
      </c>
      <c r="K23" s="13">
        <v>3440</v>
      </c>
      <c r="L23" s="13">
        <v>0</v>
      </c>
      <c r="M23" s="13">
        <v>0</v>
      </c>
      <c r="N23" s="13">
        <v>132</v>
      </c>
      <c r="O23" s="13">
        <v>0</v>
      </c>
      <c r="P23" s="13">
        <v>0</v>
      </c>
      <c r="Q23" s="13">
        <v>35</v>
      </c>
      <c r="R23" s="13">
        <v>335</v>
      </c>
      <c r="S23" s="17">
        <v>25.46</v>
      </c>
      <c r="T23" s="13">
        <v>5868</v>
      </c>
      <c r="U23" s="13">
        <v>8103</v>
      </c>
      <c r="V23" s="18" t="s">
        <v>181</v>
      </c>
      <c r="W23" s="18" t="s">
        <v>56</v>
      </c>
    </row>
    <row r="24" spans="1:23" x14ac:dyDescent="0.25">
      <c r="A24" s="10">
        <v>23</v>
      </c>
      <c r="B24" s="13">
        <v>911280</v>
      </c>
      <c r="C24" s="13">
        <v>910715</v>
      </c>
      <c r="D24" s="9">
        <v>1063.9000000000001</v>
      </c>
      <c r="E24" s="9">
        <v>174.9</v>
      </c>
      <c r="F24" s="11">
        <v>1.4644999999999999</v>
      </c>
      <c r="G24" s="13">
        <v>2352</v>
      </c>
      <c r="H24" s="13">
        <v>28360</v>
      </c>
      <c r="I24" s="10">
        <v>102</v>
      </c>
      <c r="J24" s="13">
        <v>727</v>
      </c>
      <c r="K24" s="13">
        <v>1625</v>
      </c>
      <c r="L24" s="13">
        <v>0</v>
      </c>
      <c r="M24" s="13">
        <v>0</v>
      </c>
      <c r="N24" s="13">
        <v>0</v>
      </c>
      <c r="O24" s="13">
        <v>0</v>
      </c>
      <c r="P24" s="13">
        <v>0</v>
      </c>
      <c r="Q24" s="13">
        <v>25</v>
      </c>
      <c r="R24" s="13">
        <v>252</v>
      </c>
      <c r="S24" s="17">
        <v>25.46</v>
      </c>
      <c r="T24" s="13">
        <v>5478</v>
      </c>
      <c r="U24" s="13">
        <v>8114</v>
      </c>
      <c r="V24" s="18" t="s">
        <v>182</v>
      </c>
      <c r="W24" s="18" t="s">
        <v>183</v>
      </c>
    </row>
    <row r="25" spans="1:23" x14ac:dyDescent="0.25">
      <c r="A25" s="10">
        <v>24</v>
      </c>
      <c r="B25" s="13">
        <v>911294</v>
      </c>
      <c r="C25" s="13">
        <v>910754</v>
      </c>
      <c r="D25" s="9">
        <v>1065.5</v>
      </c>
      <c r="E25" s="9">
        <v>176.7</v>
      </c>
      <c r="F25" s="11">
        <v>1.4646999999999999</v>
      </c>
      <c r="G25" s="13">
        <v>2709</v>
      </c>
      <c r="H25" s="13">
        <v>27702</v>
      </c>
      <c r="I25" s="10">
        <v>103</v>
      </c>
      <c r="J25" s="13">
        <v>444</v>
      </c>
      <c r="K25" s="13">
        <v>1766</v>
      </c>
      <c r="L25" s="13">
        <v>0</v>
      </c>
      <c r="M25" s="13">
        <v>0</v>
      </c>
      <c r="N25" s="13">
        <v>499</v>
      </c>
      <c r="O25" s="13">
        <v>0</v>
      </c>
      <c r="P25" s="13">
        <v>0</v>
      </c>
      <c r="Q25" s="13">
        <v>35</v>
      </c>
      <c r="R25" s="13">
        <v>308</v>
      </c>
      <c r="S25" s="17">
        <v>25.46</v>
      </c>
      <c r="T25" s="13">
        <v>5549</v>
      </c>
      <c r="U25" s="13">
        <v>8234</v>
      </c>
      <c r="V25" s="18" t="s">
        <v>181</v>
      </c>
      <c r="W25" s="18" t="s">
        <v>56</v>
      </c>
    </row>
    <row r="26" spans="1:23" x14ac:dyDescent="0.25">
      <c r="A26" s="10">
        <v>25</v>
      </c>
      <c r="B26" s="13">
        <v>911404</v>
      </c>
      <c r="C26" s="13">
        <v>910849</v>
      </c>
      <c r="D26" s="9">
        <v>1067.0999999999999</v>
      </c>
      <c r="E26" s="9">
        <v>178.2</v>
      </c>
      <c r="F26" s="11">
        <v>1.4649000000000001</v>
      </c>
      <c r="G26" s="13">
        <v>5740</v>
      </c>
      <c r="H26" s="13">
        <v>28226</v>
      </c>
      <c r="I26" s="10">
        <v>102</v>
      </c>
      <c r="J26" s="13">
        <v>679</v>
      </c>
      <c r="K26" s="13">
        <v>4264</v>
      </c>
      <c r="L26" s="13">
        <v>0</v>
      </c>
      <c r="M26" s="13">
        <v>0</v>
      </c>
      <c r="N26" s="13">
        <v>797</v>
      </c>
      <c r="O26" s="13">
        <v>0</v>
      </c>
      <c r="P26" s="13">
        <v>0</v>
      </c>
      <c r="Q26" s="13">
        <v>37</v>
      </c>
      <c r="R26" s="13">
        <v>360</v>
      </c>
      <c r="S26" s="17">
        <v>25.46</v>
      </c>
      <c r="T26" s="13">
        <v>5629</v>
      </c>
      <c r="U26" s="13">
        <v>8000</v>
      </c>
      <c r="V26" s="18" t="s">
        <v>182</v>
      </c>
      <c r="W26" s="18" t="s">
        <v>183</v>
      </c>
    </row>
    <row r="27" spans="1:23" x14ac:dyDescent="0.25">
      <c r="A27" s="10">
        <v>26</v>
      </c>
      <c r="B27" s="13">
        <v>910470</v>
      </c>
      <c r="C27" s="13">
        <v>909956</v>
      </c>
      <c r="D27" s="9">
        <v>1064.3</v>
      </c>
      <c r="E27" s="9">
        <v>174.8</v>
      </c>
      <c r="F27" s="11">
        <v>1.466</v>
      </c>
      <c r="G27" s="13">
        <v>3397</v>
      </c>
      <c r="H27" s="13">
        <v>28182</v>
      </c>
      <c r="I27" s="10">
        <v>107</v>
      </c>
      <c r="J27" s="13">
        <v>309</v>
      </c>
      <c r="K27" s="13">
        <v>2932</v>
      </c>
      <c r="L27" s="13">
        <v>0</v>
      </c>
      <c r="M27" s="13">
        <v>0</v>
      </c>
      <c r="N27" s="13">
        <v>156</v>
      </c>
      <c r="O27" s="13">
        <v>0</v>
      </c>
      <c r="P27" s="13">
        <v>0</v>
      </c>
      <c r="Q27" s="13">
        <v>56</v>
      </c>
      <c r="R27" s="13">
        <v>620</v>
      </c>
      <c r="S27" s="17">
        <v>25.46</v>
      </c>
      <c r="T27" s="13">
        <v>5579</v>
      </c>
      <c r="U27" s="13">
        <v>8103</v>
      </c>
      <c r="V27" s="18" t="s">
        <v>181</v>
      </c>
      <c r="W27" s="18" t="s">
        <v>56</v>
      </c>
    </row>
    <row r="28" spans="1:23" x14ac:dyDescent="0.25">
      <c r="A28" s="10">
        <v>27</v>
      </c>
      <c r="B28" s="13">
        <v>910385</v>
      </c>
      <c r="C28" s="13">
        <v>909804</v>
      </c>
      <c r="D28" s="9">
        <v>1063.5999999999999</v>
      </c>
      <c r="E28" s="9">
        <v>174.3</v>
      </c>
      <c r="F28" s="11">
        <v>1.4653</v>
      </c>
      <c r="G28" s="13">
        <v>1885</v>
      </c>
      <c r="H28" s="13">
        <v>28167</v>
      </c>
      <c r="I28" s="10">
        <v>105</v>
      </c>
      <c r="J28" s="13">
        <v>291</v>
      </c>
      <c r="K28" s="13">
        <v>1594</v>
      </c>
      <c r="L28" s="13">
        <v>0</v>
      </c>
      <c r="M28" s="13">
        <v>0</v>
      </c>
      <c r="N28" s="13">
        <v>0</v>
      </c>
      <c r="O28" s="13">
        <v>0</v>
      </c>
      <c r="P28" s="13">
        <v>0</v>
      </c>
      <c r="Q28" s="13">
        <v>43</v>
      </c>
      <c r="R28" s="13">
        <v>415</v>
      </c>
      <c r="S28" s="17">
        <v>25.46</v>
      </c>
      <c r="T28" s="13">
        <v>5476</v>
      </c>
      <c r="U28" s="13">
        <v>8118</v>
      </c>
      <c r="V28" s="18" t="s">
        <v>181</v>
      </c>
      <c r="W28" s="18" t="s">
        <v>56</v>
      </c>
    </row>
    <row r="29" spans="1:23" x14ac:dyDescent="0.25">
      <c r="A29" s="10">
        <v>28</v>
      </c>
      <c r="B29" s="13">
        <v>909965</v>
      </c>
      <c r="C29" s="13">
        <v>909382</v>
      </c>
      <c r="D29" s="9">
        <v>1066.7</v>
      </c>
      <c r="E29" s="9">
        <v>178</v>
      </c>
      <c r="F29" s="11">
        <v>1.4661</v>
      </c>
      <c r="G29" s="13">
        <v>8153</v>
      </c>
      <c r="H29" s="13">
        <v>28435</v>
      </c>
      <c r="I29" s="10">
        <v>103</v>
      </c>
      <c r="J29" s="13">
        <v>866</v>
      </c>
      <c r="K29" s="13">
        <v>5394</v>
      </c>
      <c r="L29" s="13">
        <v>0</v>
      </c>
      <c r="M29" s="13">
        <v>1658</v>
      </c>
      <c r="N29" s="13">
        <v>235</v>
      </c>
      <c r="O29" s="13">
        <v>0</v>
      </c>
      <c r="P29" s="13">
        <v>0</v>
      </c>
      <c r="Q29" s="13">
        <v>41</v>
      </c>
      <c r="R29" s="13">
        <v>410</v>
      </c>
      <c r="S29" s="17">
        <v>25.46</v>
      </c>
      <c r="T29" s="13">
        <v>5825</v>
      </c>
      <c r="U29" s="13">
        <v>8126</v>
      </c>
      <c r="V29" s="18" t="s">
        <v>181</v>
      </c>
      <c r="W29" s="18" t="s">
        <v>56</v>
      </c>
    </row>
    <row r="30" spans="1:23" x14ac:dyDescent="0.25">
      <c r="A30" s="10">
        <v>29</v>
      </c>
      <c r="B30" s="13">
        <v>912416</v>
      </c>
      <c r="C30" s="13">
        <v>911838</v>
      </c>
      <c r="D30" s="9">
        <v>1062.2</v>
      </c>
      <c r="E30" s="9">
        <v>174.7</v>
      </c>
      <c r="F30" s="11">
        <v>1.4641999999999999</v>
      </c>
      <c r="G30" s="13">
        <v>3554</v>
      </c>
      <c r="H30" s="13">
        <v>28370</v>
      </c>
      <c r="I30" s="10">
        <v>105</v>
      </c>
      <c r="J30" s="13">
        <v>1121</v>
      </c>
      <c r="K30" s="13">
        <v>2131</v>
      </c>
      <c r="L30" s="13">
        <v>0</v>
      </c>
      <c r="M30" s="13">
        <v>0</v>
      </c>
      <c r="N30" s="13">
        <v>302</v>
      </c>
      <c r="O30" s="13">
        <v>0</v>
      </c>
      <c r="P30" s="13">
        <v>0</v>
      </c>
      <c r="Q30" s="13">
        <v>38</v>
      </c>
      <c r="R30" s="13">
        <v>388</v>
      </c>
      <c r="S30" s="17">
        <v>25.46</v>
      </c>
      <c r="T30" s="13">
        <v>5647</v>
      </c>
      <c r="U30" s="13">
        <v>8167</v>
      </c>
      <c r="V30" s="18" t="s">
        <v>182</v>
      </c>
      <c r="W30" s="18" t="s">
        <v>183</v>
      </c>
    </row>
    <row r="31" spans="1:23" x14ac:dyDescent="0.25">
      <c r="A31" s="10">
        <v>30</v>
      </c>
      <c r="B31" s="13">
        <v>910732</v>
      </c>
      <c r="C31" s="13">
        <v>910150</v>
      </c>
      <c r="D31" s="9">
        <v>1065</v>
      </c>
      <c r="E31" s="9">
        <v>176.8</v>
      </c>
      <c r="F31" s="11">
        <v>1.4642999999999999</v>
      </c>
      <c r="G31" s="13">
        <v>5444</v>
      </c>
      <c r="H31" s="13">
        <v>28064</v>
      </c>
      <c r="I31" s="10">
        <v>104</v>
      </c>
      <c r="J31" s="13">
        <v>1093</v>
      </c>
      <c r="K31" s="13">
        <v>3305</v>
      </c>
      <c r="L31" s="13">
        <v>0</v>
      </c>
      <c r="M31" s="13">
        <v>0</v>
      </c>
      <c r="N31" s="13">
        <v>1046</v>
      </c>
      <c r="O31" s="13">
        <v>0</v>
      </c>
      <c r="P31" s="13">
        <v>0</v>
      </c>
      <c r="Q31" s="13">
        <v>42</v>
      </c>
      <c r="R31" s="13">
        <v>449</v>
      </c>
      <c r="S31" s="17">
        <v>25.46</v>
      </c>
      <c r="T31" s="13">
        <v>5513</v>
      </c>
      <c r="U31" s="13">
        <v>8231</v>
      </c>
      <c r="V31" s="18" t="s">
        <v>181</v>
      </c>
      <c r="W31" s="18" t="s">
        <v>56</v>
      </c>
    </row>
    <row r="32" spans="1:23" x14ac:dyDescent="0.25">
      <c r="A32" s="10">
        <v>31</v>
      </c>
      <c r="B32" s="13">
        <v>912544</v>
      </c>
      <c r="C32" s="13">
        <v>911938</v>
      </c>
      <c r="D32" s="9">
        <v>1067.0999999999999</v>
      </c>
      <c r="E32" s="9">
        <v>178.6</v>
      </c>
      <c r="F32" s="11">
        <v>1.4654</v>
      </c>
      <c r="G32" s="13">
        <v>4482</v>
      </c>
      <c r="H32" s="13">
        <v>28510</v>
      </c>
      <c r="I32" s="10">
        <v>101</v>
      </c>
      <c r="J32" s="13">
        <v>2077</v>
      </c>
      <c r="K32" s="13">
        <v>2301</v>
      </c>
      <c r="L32" s="13">
        <v>0</v>
      </c>
      <c r="M32" s="13">
        <v>0</v>
      </c>
      <c r="N32" s="13">
        <v>104</v>
      </c>
      <c r="O32" s="13">
        <v>0</v>
      </c>
      <c r="P32" s="13">
        <v>0</v>
      </c>
      <c r="Q32" s="13">
        <v>47</v>
      </c>
      <c r="R32" s="13">
        <v>371</v>
      </c>
      <c r="S32" s="17">
        <v>25.47</v>
      </c>
      <c r="T32" s="13">
        <v>5552</v>
      </c>
      <c r="U32" s="13">
        <v>8237</v>
      </c>
      <c r="V32" s="18" t="s">
        <v>181</v>
      </c>
      <c r="W32" s="18" t="s">
        <v>56</v>
      </c>
    </row>
    <row r="33" spans="1:23" x14ac:dyDescent="0.25">
      <c r="A33" s="10">
        <v>32</v>
      </c>
      <c r="B33" s="13">
        <v>912351</v>
      </c>
      <c r="C33" s="13">
        <v>911746</v>
      </c>
      <c r="D33" s="9">
        <v>1066.3</v>
      </c>
      <c r="E33" s="9">
        <v>177.2</v>
      </c>
      <c r="F33" s="11">
        <v>1.4661999999999999</v>
      </c>
      <c r="G33" s="13">
        <v>4436</v>
      </c>
      <c r="H33" s="13">
        <v>28648</v>
      </c>
      <c r="I33" s="10">
        <v>104</v>
      </c>
      <c r="J33" s="13">
        <v>855</v>
      </c>
      <c r="K33" s="13">
        <v>3581</v>
      </c>
      <c r="L33" s="13">
        <v>0</v>
      </c>
      <c r="M33" s="13">
        <v>0</v>
      </c>
      <c r="N33" s="13">
        <v>0</v>
      </c>
      <c r="O33" s="13">
        <v>0</v>
      </c>
      <c r="P33" s="13">
        <v>0</v>
      </c>
      <c r="Q33" s="13">
        <v>47</v>
      </c>
      <c r="R33" s="13">
        <v>388</v>
      </c>
      <c r="S33" s="17">
        <v>25.47</v>
      </c>
      <c r="T33" s="13">
        <v>5784</v>
      </c>
      <c r="U33" s="13">
        <v>8232</v>
      </c>
      <c r="V33" s="18" t="s">
        <v>181</v>
      </c>
      <c r="W33" s="18" t="s">
        <v>56</v>
      </c>
    </row>
    <row r="34" spans="1:23" x14ac:dyDescent="0.25">
      <c r="A34" s="10">
        <v>33</v>
      </c>
      <c r="B34" s="13">
        <v>911557</v>
      </c>
      <c r="C34" s="13">
        <v>910961</v>
      </c>
      <c r="D34" s="9">
        <v>1064.0999999999999</v>
      </c>
      <c r="E34" s="9">
        <v>175.8</v>
      </c>
      <c r="F34" s="11">
        <v>1.4646999999999999</v>
      </c>
      <c r="G34" s="13">
        <v>3086</v>
      </c>
      <c r="H34" s="13">
        <v>28040</v>
      </c>
      <c r="I34" s="10">
        <v>105</v>
      </c>
      <c r="J34" s="13">
        <v>1513</v>
      </c>
      <c r="K34" s="13">
        <v>1573</v>
      </c>
      <c r="L34" s="13">
        <v>0</v>
      </c>
      <c r="M34" s="13">
        <v>0</v>
      </c>
      <c r="N34" s="13">
        <v>0</v>
      </c>
      <c r="O34" s="13">
        <v>0</v>
      </c>
      <c r="P34" s="13">
        <v>0</v>
      </c>
      <c r="Q34" s="13">
        <v>39</v>
      </c>
      <c r="R34" s="13">
        <v>361</v>
      </c>
      <c r="S34" s="17">
        <v>25.47</v>
      </c>
      <c r="T34" s="13">
        <v>5749</v>
      </c>
      <c r="U34" s="13">
        <v>7881</v>
      </c>
      <c r="V34" s="18" t="s">
        <v>181</v>
      </c>
      <c r="W34" s="18" t="s">
        <v>56</v>
      </c>
    </row>
    <row r="35" spans="1:23" x14ac:dyDescent="0.25">
      <c r="A35" s="10">
        <v>34</v>
      </c>
      <c r="B35" s="13">
        <v>909851</v>
      </c>
      <c r="C35" s="13">
        <v>909304</v>
      </c>
      <c r="D35" s="9">
        <v>1067</v>
      </c>
      <c r="E35" s="9">
        <v>177.6</v>
      </c>
      <c r="F35" s="11">
        <v>1.4659</v>
      </c>
      <c r="G35" s="13">
        <v>3478</v>
      </c>
      <c r="H35" s="13">
        <v>27885</v>
      </c>
      <c r="I35" s="10">
        <v>104</v>
      </c>
      <c r="J35" s="13">
        <v>0</v>
      </c>
      <c r="K35" s="13">
        <v>3478</v>
      </c>
      <c r="L35" s="13">
        <v>0</v>
      </c>
      <c r="M35" s="13">
        <v>0</v>
      </c>
      <c r="N35" s="13">
        <v>0</v>
      </c>
      <c r="O35" s="13">
        <v>0</v>
      </c>
      <c r="P35" s="13">
        <v>0</v>
      </c>
      <c r="Q35" s="13">
        <v>35</v>
      </c>
      <c r="R35" s="13">
        <v>378</v>
      </c>
      <c r="S35" s="17">
        <v>25.47</v>
      </c>
      <c r="T35" s="13">
        <v>5557</v>
      </c>
      <c r="U35" s="13">
        <v>8207</v>
      </c>
      <c r="V35" s="18" t="s">
        <v>181</v>
      </c>
      <c r="W35" s="18" t="s">
        <v>56</v>
      </c>
    </row>
    <row r="36" spans="1:23" x14ac:dyDescent="0.25">
      <c r="A36" s="10">
        <v>35</v>
      </c>
      <c r="B36" s="13">
        <v>911635</v>
      </c>
      <c r="C36" s="13">
        <v>911026</v>
      </c>
      <c r="D36" s="9">
        <v>1066.2</v>
      </c>
      <c r="E36" s="9">
        <v>177.5</v>
      </c>
      <c r="F36" s="11">
        <v>1.4645999999999999</v>
      </c>
      <c r="G36" s="13">
        <v>4877</v>
      </c>
      <c r="H36" s="13">
        <v>28179</v>
      </c>
      <c r="I36" s="10">
        <v>103</v>
      </c>
      <c r="J36" s="13">
        <v>911</v>
      </c>
      <c r="K36" s="13">
        <v>3963</v>
      </c>
      <c r="L36" s="13">
        <v>0</v>
      </c>
      <c r="M36" s="13">
        <v>0</v>
      </c>
      <c r="N36" s="13">
        <v>0</v>
      </c>
      <c r="O36" s="13">
        <v>0</v>
      </c>
      <c r="P36" s="13">
        <v>3</v>
      </c>
      <c r="Q36" s="13">
        <v>56</v>
      </c>
      <c r="R36" s="13">
        <v>508</v>
      </c>
      <c r="S36" s="17">
        <v>25.47</v>
      </c>
      <c r="T36" s="13">
        <v>5681</v>
      </c>
      <c r="U36" s="13">
        <v>8064</v>
      </c>
      <c r="V36" s="18" t="s">
        <v>181</v>
      </c>
      <c r="W36" s="18" t="s">
        <v>56</v>
      </c>
    </row>
    <row r="37" spans="1:23" x14ac:dyDescent="0.25">
      <c r="A37" s="10">
        <v>36</v>
      </c>
      <c r="B37" s="13">
        <v>910180</v>
      </c>
      <c r="C37" s="13">
        <v>909592</v>
      </c>
      <c r="D37" s="9">
        <v>1066.8</v>
      </c>
      <c r="E37" s="9">
        <v>178.2</v>
      </c>
      <c r="F37" s="11">
        <v>1.4646999999999999</v>
      </c>
      <c r="G37" s="13">
        <v>6797</v>
      </c>
      <c r="H37" s="13">
        <v>27993</v>
      </c>
      <c r="I37" s="10">
        <v>102</v>
      </c>
      <c r="J37" s="13">
        <v>2677</v>
      </c>
      <c r="K37" s="13">
        <v>4120</v>
      </c>
      <c r="L37" s="13">
        <v>0</v>
      </c>
      <c r="M37" s="13">
        <v>0</v>
      </c>
      <c r="N37" s="13">
        <v>0</v>
      </c>
      <c r="O37" s="13">
        <v>0</v>
      </c>
      <c r="P37" s="13">
        <v>0</v>
      </c>
      <c r="Q37" s="13">
        <v>42</v>
      </c>
      <c r="R37" s="13">
        <v>449</v>
      </c>
      <c r="S37" s="17">
        <v>25.47</v>
      </c>
      <c r="T37" s="13">
        <v>5823</v>
      </c>
      <c r="U37" s="13">
        <v>8205</v>
      </c>
      <c r="V37" s="18" t="s">
        <v>181</v>
      </c>
      <c r="W37" s="18" t="s">
        <v>56</v>
      </c>
    </row>
    <row r="38" spans="1:23" x14ac:dyDescent="0.25">
      <c r="A38" s="10">
        <v>37</v>
      </c>
      <c r="B38" s="13">
        <v>911757</v>
      </c>
      <c r="C38" s="13">
        <v>911101</v>
      </c>
      <c r="D38" s="9">
        <v>1066.5</v>
      </c>
      <c r="E38" s="9">
        <v>177.6</v>
      </c>
      <c r="F38" s="11">
        <v>1.4650000000000001</v>
      </c>
      <c r="G38" s="13">
        <v>3901</v>
      </c>
      <c r="H38" s="13">
        <v>28590</v>
      </c>
      <c r="I38" s="10">
        <v>104</v>
      </c>
      <c r="J38" s="13">
        <v>307</v>
      </c>
      <c r="K38" s="13">
        <v>2704</v>
      </c>
      <c r="L38" s="13">
        <v>0</v>
      </c>
      <c r="M38" s="13">
        <v>0</v>
      </c>
      <c r="N38" s="13">
        <v>890</v>
      </c>
      <c r="O38" s="13">
        <v>0</v>
      </c>
      <c r="P38" s="13">
        <v>0</v>
      </c>
      <c r="Q38" s="13">
        <v>41</v>
      </c>
      <c r="R38" s="13">
        <v>402</v>
      </c>
      <c r="S38" s="17">
        <v>25.47</v>
      </c>
      <c r="T38" s="13">
        <v>5854</v>
      </c>
      <c r="U38" s="13">
        <v>8222</v>
      </c>
      <c r="V38" s="18" t="s">
        <v>181</v>
      </c>
      <c r="W38" s="18" t="s">
        <v>56</v>
      </c>
    </row>
    <row r="39" spans="1:23" x14ac:dyDescent="0.25">
      <c r="A39" s="10">
        <v>38</v>
      </c>
      <c r="B39" s="13">
        <v>910168</v>
      </c>
      <c r="C39" s="13">
        <v>909576</v>
      </c>
      <c r="D39" s="9">
        <v>1069.0999999999999</v>
      </c>
      <c r="E39" s="9">
        <v>180.8</v>
      </c>
      <c r="F39" s="11">
        <v>1.4657</v>
      </c>
      <c r="G39" s="13">
        <v>5782</v>
      </c>
      <c r="H39" s="13">
        <v>28106</v>
      </c>
      <c r="I39" s="10">
        <v>104</v>
      </c>
      <c r="J39" s="13">
        <v>724</v>
      </c>
      <c r="K39" s="13">
        <v>4914</v>
      </c>
      <c r="L39" s="13">
        <v>0</v>
      </c>
      <c r="M39" s="13">
        <v>0</v>
      </c>
      <c r="N39" s="13">
        <v>132</v>
      </c>
      <c r="O39" s="13">
        <v>0</v>
      </c>
      <c r="P39" s="13">
        <v>12</v>
      </c>
      <c r="Q39" s="13">
        <v>41</v>
      </c>
      <c r="R39" s="13">
        <v>326</v>
      </c>
      <c r="S39" s="17">
        <v>25.48</v>
      </c>
      <c r="T39" s="13">
        <v>5599</v>
      </c>
      <c r="U39" s="13">
        <v>7893</v>
      </c>
      <c r="V39" s="18" t="s">
        <v>181</v>
      </c>
      <c r="W39" s="18" t="s">
        <v>56</v>
      </c>
    </row>
    <row r="40" spans="1:23" x14ac:dyDescent="0.25">
      <c r="A40" s="10">
        <v>39</v>
      </c>
      <c r="B40" s="13">
        <v>912532</v>
      </c>
      <c r="C40" s="13">
        <v>911890</v>
      </c>
      <c r="D40" s="9">
        <v>1064.3</v>
      </c>
      <c r="E40" s="9">
        <v>175.3</v>
      </c>
      <c r="F40" s="11">
        <v>1.4666999999999999</v>
      </c>
      <c r="G40" s="13">
        <v>2237</v>
      </c>
      <c r="H40" s="13">
        <v>28446</v>
      </c>
      <c r="I40" s="10">
        <v>102</v>
      </c>
      <c r="J40" s="13">
        <v>1208</v>
      </c>
      <c r="K40" s="13">
        <v>1029</v>
      </c>
      <c r="L40" s="13">
        <v>0</v>
      </c>
      <c r="M40" s="13">
        <v>0</v>
      </c>
      <c r="N40" s="13">
        <v>0</v>
      </c>
      <c r="O40" s="13">
        <v>0</v>
      </c>
      <c r="P40" s="13">
        <v>0</v>
      </c>
      <c r="Q40" s="13">
        <v>35</v>
      </c>
      <c r="R40" s="13">
        <v>375</v>
      </c>
      <c r="S40" s="17">
        <v>25.46</v>
      </c>
      <c r="T40" s="13">
        <v>5908</v>
      </c>
      <c r="U40" s="13">
        <v>8226</v>
      </c>
      <c r="V40" s="18" t="s">
        <v>181</v>
      </c>
      <c r="W40" s="18" t="s">
        <v>56</v>
      </c>
    </row>
    <row r="41" spans="1:23" x14ac:dyDescent="0.25">
      <c r="A41" s="10">
        <v>40</v>
      </c>
      <c r="B41" s="13">
        <v>911482</v>
      </c>
      <c r="C41" s="13">
        <v>910941</v>
      </c>
      <c r="D41" s="9">
        <v>1063.5</v>
      </c>
      <c r="E41" s="9">
        <v>174.3</v>
      </c>
      <c r="F41" s="11">
        <v>1.4657</v>
      </c>
      <c r="G41" s="13">
        <v>2113</v>
      </c>
      <c r="H41" s="13">
        <v>27869</v>
      </c>
      <c r="I41" s="10">
        <v>103</v>
      </c>
      <c r="J41" s="13">
        <v>216</v>
      </c>
      <c r="K41" s="13">
        <v>1330</v>
      </c>
      <c r="L41" s="13">
        <v>0</v>
      </c>
      <c r="M41" s="13">
        <v>386</v>
      </c>
      <c r="N41" s="13">
        <v>181</v>
      </c>
      <c r="O41" s="13">
        <v>0</v>
      </c>
      <c r="P41" s="13">
        <v>0</v>
      </c>
      <c r="Q41" s="13">
        <v>37</v>
      </c>
      <c r="R41" s="13">
        <v>316</v>
      </c>
      <c r="S41" s="17">
        <v>25.46</v>
      </c>
      <c r="T41" s="13">
        <v>5747</v>
      </c>
      <c r="U41" s="13">
        <v>7914</v>
      </c>
      <c r="V41" s="18" t="s">
        <v>181</v>
      </c>
      <c r="W41" s="18" t="s">
        <v>56</v>
      </c>
    </row>
    <row r="42" spans="1:23" x14ac:dyDescent="0.25">
      <c r="A42" s="10">
        <v>41</v>
      </c>
      <c r="B42" s="13">
        <v>910918</v>
      </c>
      <c r="C42" s="13">
        <v>910347</v>
      </c>
      <c r="D42" s="9">
        <v>1060.9000000000001</v>
      </c>
      <c r="E42" s="9">
        <v>173.1</v>
      </c>
      <c r="F42" s="11">
        <v>1.4646999999999999</v>
      </c>
      <c r="G42" s="13">
        <v>2232</v>
      </c>
      <c r="H42" s="13">
        <v>28992</v>
      </c>
      <c r="I42" s="10">
        <v>105</v>
      </c>
      <c r="J42" s="13">
        <v>494</v>
      </c>
      <c r="K42" s="13">
        <v>1592</v>
      </c>
      <c r="L42" s="13">
        <v>0</v>
      </c>
      <c r="M42" s="13">
        <v>146</v>
      </c>
      <c r="N42" s="13">
        <v>0</v>
      </c>
      <c r="O42" s="13">
        <v>0</v>
      </c>
      <c r="P42" s="13">
        <v>0</v>
      </c>
      <c r="Q42" s="13">
        <v>33</v>
      </c>
      <c r="R42" s="13">
        <v>230</v>
      </c>
      <c r="S42" s="17">
        <v>25.45</v>
      </c>
      <c r="T42" s="13">
        <v>5844</v>
      </c>
      <c r="U42" s="13">
        <v>8151</v>
      </c>
      <c r="V42" s="18" t="s">
        <v>182</v>
      </c>
      <c r="W42" s="18" t="s">
        <v>183</v>
      </c>
    </row>
    <row r="43" spans="1:23" x14ac:dyDescent="0.25">
      <c r="A43" s="10">
        <v>42</v>
      </c>
      <c r="B43" s="13">
        <v>911759</v>
      </c>
      <c r="C43" s="13">
        <v>911185</v>
      </c>
      <c r="D43" s="9">
        <v>1064.8</v>
      </c>
      <c r="E43" s="9">
        <v>175.7</v>
      </c>
      <c r="F43" s="11">
        <v>1.4655</v>
      </c>
      <c r="G43" s="13">
        <v>3994</v>
      </c>
      <c r="H43" s="13">
        <v>28477</v>
      </c>
      <c r="I43" s="10">
        <v>105</v>
      </c>
      <c r="J43" s="13">
        <v>684</v>
      </c>
      <c r="K43" s="13">
        <v>924</v>
      </c>
      <c r="L43" s="13">
        <v>0</v>
      </c>
      <c r="M43" s="13">
        <v>31</v>
      </c>
      <c r="N43" s="13">
        <v>2355</v>
      </c>
      <c r="O43" s="13">
        <v>0</v>
      </c>
      <c r="P43" s="13">
        <v>0</v>
      </c>
      <c r="Q43" s="13">
        <v>52</v>
      </c>
      <c r="R43" s="13">
        <v>504</v>
      </c>
      <c r="S43" s="17">
        <v>25.46</v>
      </c>
      <c r="T43" s="13">
        <v>5744</v>
      </c>
      <c r="U43" s="13">
        <v>8171</v>
      </c>
      <c r="V43" s="18" t="s">
        <v>181</v>
      </c>
      <c r="W43" s="18" t="s">
        <v>56</v>
      </c>
    </row>
    <row r="44" spans="1:23" x14ac:dyDescent="0.25">
      <c r="A44" s="10">
        <v>43</v>
      </c>
      <c r="B44" s="13">
        <v>911484</v>
      </c>
      <c r="C44" s="13">
        <v>910937</v>
      </c>
      <c r="D44" s="9">
        <v>1064.4000000000001</v>
      </c>
      <c r="E44" s="9">
        <v>175.2</v>
      </c>
      <c r="F44" s="11">
        <v>1.4656</v>
      </c>
      <c r="G44" s="13">
        <v>4193</v>
      </c>
      <c r="H44" s="13">
        <v>28601</v>
      </c>
      <c r="I44" s="10">
        <v>104</v>
      </c>
      <c r="J44" s="13">
        <v>1106</v>
      </c>
      <c r="K44" s="13">
        <v>3087</v>
      </c>
      <c r="L44" s="13">
        <v>0</v>
      </c>
      <c r="M44" s="13">
        <v>0</v>
      </c>
      <c r="N44" s="13">
        <v>0</v>
      </c>
      <c r="O44" s="13">
        <v>0</v>
      </c>
      <c r="P44" s="13">
        <v>0</v>
      </c>
      <c r="Q44" s="13">
        <v>46</v>
      </c>
      <c r="R44" s="13">
        <v>424</v>
      </c>
      <c r="S44" s="17">
        <v>25.46</v>
      </c>
      <c r="T44" s="13">
        <v>5725</v>
      </c>
      <c r="U44" s="13">
        <v>8129</v>
      </c>
      <c r="V44" s="18" t="s">
        <v>181</v>
      </c>
      <c r="W44" s="18" t="s">
        <v>56</v>
      </c>
    </row>
    <row r="45" spans="1:23" x14ac:dyDescent="0.25">
      <c r="A45" s="10">
        <v>44</v>
      </c>
      <c r="B45" s="13">
        <v>912924</v>
      </c>
      <c r="C45" s="13">
        <v>912380</v>
      </c>
      <c r="D45" s="9">
        <v>1064.3</v>
      </c>
      <c r="E45" s="9">
        <v>175</v>
      </c>
      <c r="F45" s="11">
        <v>1.4650000000000001</v>
      </c>
      <c r="G45" s="13">
        <v>2830</v>
      </c>
      <c r="H45" s="13">
        <v>28567</v>
      </c>
      <c r="I45" s="10">
        <v>104</v>
      </c>
      <c r="J45" s="13">
        <v>821</v>
      </c>
      <c r="K45" s="13">
        <v>2009</v>
      </c>
      <c r="L45" s="13">
        <v>0</v>
      </c>
      <c r="M45" s="13">
        <v>0</v>
      </c>
      <c r="N45" s="13">
        <v>0</v>
      </c>
      <c r="O45" s="13">
        <v>0</v>
      </c>
      <c r="P45" s="13">
        <v>0</v>
      </c>
      <c r="Q45" s="13">
        <v>23</v>
      </c>
      <c r="R45" s="13">
        <v>194</v>
      </c>
      <c r="S45" s="17">
        <v>25.46</v>
      </c>
      <c r="T45" s="13">
        <v>5831</v>
      </c>
      <c r="U45" s="13">
        <v>8108</v>
      </c>
      <c r="V45" s="18" t="s">
        <v>181</v>
      </c>
      <c r="W45" s="18" t="s">
        <v>56</v>
      </c>
    </row>
    <row r="46" spans="1:23" x14ac:dyDescent="0.25">
      <c r="A46" s="10">
        <v>45</v>
      </c>
      <c r="B46" s="13">
        <v>912179</v>
      </c>
      <c r="C46" s="13">
        <v>911630</v>
      </c>
      <c r="D46" s="9">
        <v>1062.7</v>
      </c>
      <c r="E46" s="9">
        <v>174.2</v>
      </c>
      <c r="F46" s="11">
        <v>1.4657</v>
      </c>
      <c r="G46" s="13">
        <v>2205</v>
      </c>
      <c r="H46" s="13">
        <v>28138</v>
      </c>
      <c r="I46" s="10">
        <v>104</v>
      </c>
      <c r="J46" s="13">
        <v>634</v>
      </c>
      <c r="K46" s="13">
        <v>1265</v>
      </c>
      <c r="L46" s="13">
        <v>0</v>
      </c>
      <c r="M46" s="13">
        <v>283</v>
      </c>
      <c r="N46" s="13">
        <v>23</v>
      </c>
      <c r="O46" s="13">
        <v>0</v>
      </c>
      <c r="P46" s="13">
        <v>0</v>
      </c>
      <c r="Q46" s="13">
        <v>38</v>
      </c>
      <c r="R46" s="13">
        <v>415</v>
      </c>
      <c r="S46" s="17">
        <v>25.46</v>
      </c>
      <c r="T46" s="13">
        <v>5656</v>
      </c>
      <c r="U46" s="13">
        <v>8068</v>
      </c>
      <c r="V46" s="18" t="s">
        <v>181</v>
      </c>
      <c r="W46" s="18" t="s">
        <v>56</v>
      </c>
    </row>
    <row r="47" spans="1:23" x14ac:dyDescent="0.25">
      <c r="A47" s="10">
        <v>46</v>
      </c>
      <c r="B47" s="13">
        <v>910746</v>
      </c>
      <c r="C47" s="13">
        <v>910174</v>
      </c>
      <c r="D47" s="9">
        <v>1066.8</v>
      </c>
      <c r="E47" s="9">
        <v>178.5</v>
      </c>
      <c r="F47" s="11">
        <v>1.4649000000000001</v>
      </c>
      <c r="G47" s="13">
        <v>6161</v>
      </c>
      <c r="H47" s="13">
        <v>28021</v>
      </c>
      <c r="I47" s="10">
        <v>103</v>
      </c>
      <c r="J47" s="13">
        <v>1170</v>
      </c>
      <c r="K47" s="13">
        <v>3983</v>
      </c>
      <c r="L47" s="13">
        <v>45</v>
      </c>
      <c r="M47" s="13">
        <v>0</v>
      </c>
      <c r="N47" s="13">
        <v>963</v>
      </c>
      <c r="O47" s="13">
        <v>0</v>
      </c>
      <c r="P47" s="13">
        <v>0</v>
      </c>
      <c r="Q47" s="13">
        <v>31</v>
      </c>
      <c r="R47" s="13">
        <v>212</v>
      </c>
      <c r="S47" s="17">
        <v>25.46</v>
      </c>
      <c r="T47" s="13">
        <v>5672</v>
      </c>
      <c r="U47" s="13">
        <v>8007</v>
      </c>
      <c r="V47" s="18" t="s">
        <v>181</v>
      </c>
      <c r="W47" s="18" t="s">
        <v>56</v>
      </c>
    </row>
    <row r="48" spans="1:23" x14ac:dyDescent="0.25">
      <c r="A48" s="10">
        <v>47</v>
      </c>
      <c r="B48" s="13">
        <v>909683</v>
      </c>
      <c r="C48" s="13">
        <v>909095</v>
      </c>
      <c r="D48" s="9">
        <v>1063.8</v>
      </c>
      <c r="E48" s="9">
        <v>175.3</v>
      </c>
      <c r="F48" s="11">
        <v>1.4650000000000001</v>
      </c>
      <c r="G48" s="13">
        <v>3332</v>
      </c>
      <c r="H48" s="13">
        <v>28070</v>
      </c>
      <c r="I48" s="10">
        <v>102</v>
      </c>
      <c r="J48" s="13">
        <v>291</v>
      </c>
      <c r="K48" s="13">
        <v>2294</v>
      </c>
      <c r="L48" s="13">
        <v>0</v>
      </c>
      <c r="M48" s="13">
        <v>0</v>
      </c>
      <c r="N48" s="13">
        <v>747</v>
      </c>
      <c r="O48" s="13">
        <v>0</v>
      </c>
      <c r="P48" s="13">
        <v>0</v>
      </c>
      <c r="Q48" s="13">
        <v>32</v>
      </c>
      <c r="R48" s="13">
        <v>289</v>
      </c>
      <c r="S48" s="17">
        <v>25.46</v>
      </c>
      <c r="T48" s="13">
        <v>5620</v>
      </c>
      <c r="U48" s="13">
        <v>8064</v>
      </c>
      <c r="V48" s="18" t="s">
        <v>181</v>
      </c>
      <c r="W48" s="18" t="s">
        <v>56</v>
      </c>
    </row>
    <row r="49" spans="1:23" x14ac:dyDescent="0.25">
      <c r="A49" s="10">
        <v>48</v>
      </c>
      <c r="B49" s="13">
        <v>910434</v>
      </c>
      <c r="C49" s="13">
        <v>909876</v>
      </c>
      <c r="D49" s="9">
        <v>1064.5999999999999</v>
      </c>
      <c r="E49" s="9">
        <v>175.4</v>
      </c>
      <c r="F49" s="11">
        <v>1.4651000000000001</v>
      </c>
      <c r="G49" s="13">
        <v>3318</v>
      </c>
      <c r="H49" s="13">
        <v>28042</v>
      </c>
      <c r="I49" s="10">
        <v>105</v>
      </c>
      <c r="J49" s="13">
        <v>1992</v>
      </c>
      <c r="K49" s="13">
        <v>1279</v>
      </c>
      <c r="L49" s="13">
        <v>0</v>
      </c>
      <c r="M49" s="13">
        <v>0</v>
      </c>
      <c r="N49" s="13">
        <v>47</v>
      </c>
      <c r="O49" s="13">
        <v>0</v>
      </c>
      <c r="P49" s="13">
        <v>0</v>
      </c>
      <c r="Q49" s="13">
        <v>31</v>
      </c>
      <c r="R49" s="13">
        <v>242</v>
      </c>
      <c r="S49" s="17">
        <v>25.46</v>
      </c>
      <c r="T49" s="13">
        <v>5597</v>
      </c>
      <c r="U49" s="13">
        <v>8058</v>
      </c>
      <c r="V49" s="18" t="s">
        <v>181</v>
      </c>
      <c r="W49" s="18" t="s">
        <v>56</v>
      </c>
    </row>
    <row r="50" spans="1:23" x14ac:dyDescent="0.25">
      <c r="A50" s="10">
        <v>49</v>
      </c>
      <c r="B50" s="13">
        <v>910132</v>
      </c>
      <c r="C50" s="13">
        <v>909545</v>
      </c>
      <c r="D50" s="9">
        <v>1067.2</v>
      </c>
      <c r="E50" s="9">
        <v>178</v>
      </c>
      <c r="F50" s="11">
        <v>1.4659</v>
      </c>
      <c r="G50" s="13">
        <v>6157</v>
      </c>
      <c r="H50" s="13">
        <v>28169</v>
      </c>
      <c r="I50" s="10">
        <v>103</v>
      </c>
      <c r="J50" s="13">
        <v>623</v>
      </c>
      <c r="K50" s="13">
        <v>4766</v>
      </c>
      <c r="L50" s="13">
        <v>0</v>
      </c>
      <c r="M50" s="13">
        <v>280</v>
      </c>
      <c r="N50" s="13">
        <v>488</v>
      </c>
      <c r="O50" s="13">
        <v>0</v>
      </c>
      <c r="P50" s="13">
        <v>0</v>
      </c>
      <c r="Q50" s="13">
        <v>24</v>
      </c>
      <c r="R50" s="13">
        <v>186</v>
      </c>
      <c r="S50" s="17">
        <v>25.47</v>
      </c>
      <c r="T50" s="13">
        <v>5675</v>
      </c>
      <c r="U50" s="13">
        <v>8149</v>
      </c>
      <c r="V50" s="18" t="s">
        <v>181</v>
      </c>
      <c r="W50" s="18" t="s">
        <v>56</v>
      </c>
    </row>
    <row r="51" spans="1:23" x14ac:dyDescent="0.25">
      <c r="A51" s="10">
        <v>50</v>
      </c>
      <c r="B51" s="13">
        <v>911413</v>
      </c>
      <c r="C51" s="13">
        <v>910753</v>
      </c>
      <c r="D51" s="9">
        <v>1067.0999999999999</v>
      </c>
      <c r="E51" s="9">
        <v>177.6</v>
      </c>
      <c r="F51" s="11">
        <v>1.466</v>
      </c>
      <c r="G51" s="13">
        <v>3447</v>
      </c>
      <c r="H51" s="13">
        <v>28342</v>
      </c>
      <c r="I51" s="10">
        <v>105</v>
      </c>
      <c r="J51" s="13">
        <v>1142</v>
      </c>
      <c r="K51" s="13">
        <v>2158</v>
      </c>
      <c r="L51" s="13">
        <v>0</v>
      </c>
      <c r="M51" s="13">
        <v>65</v>
      </c>
      <c r="N51" s="13">
        <v>82</v>
      </c>
      <c r="O51" s="13">
        <v>0</v>
      </c>
      <c r="P51" s="13">
        <v>0</v>
      </c>
      <c r="Q51" s="13">
        <v>54</v>
      </c>
      <c r="R51" s="13">
        <v>401</v>
      </c>
      <c r="S51" s="17">
        <v>25.47</v>
      </c>
      <c r="T51" s="13">
        <v>5623</v>
      </c>
      <c r="U51" s="13">
        <v>8148</v>
      </c>
      <c r="V51" s="18" t="s">
        <v>181</v>
      </c>
      <c r="W51" s="18" t="s">
        <v>56</v>
      </c>
    </row>
    <row r="52" spans="1:23" x14ac:dyDescent="0.25">
      <c r="A52" s="10">
        <v>51</v>
      </c>
      <c r="B52" s="13">
        <v>911918</v>
      </c>
      <c r="C52" s="13">
        <v>911375</v>
      </c>
      <c r="D52" s="9">
        <v>1063.4000000000001</v>
      </c>
      <c r="E52" s="9">
        <v>174.2</v>
      </c>
      <c r="F52" s="11">
        <v>1.4656</v>
      </c>
      <c r="G52" s="13">
        <v>4080</v>
      </c>
      <c r="H52" s="13">
        <v>28090</v>
      </c>
      <c r="I52" s="10">
        <v>104</v>
      </c>
      <c r="J52" s="13">
        <v>442</v>
      </c>
      <c r="K52" s="13">
        <v>3638</v>
      </c>
      <c r="L52" s="13">
        <v>0</v>
      </c>
      <c r="M52" s="13">
        <v>0</v>
      </c>
      <c r="N52" s="13">
        <v>0</v>
      </c>
      <c r="O52" s="13">
        <v>0</v>
      </c>
      <c r="P52" s="13">
        <v>0</v>
      </c>
      <c r="Q52" s="13">
        <v>58</v>
      </c>
      <c r="R52" s="13">
        <v>654</v>
      </c>
      <c r="S52" s="17">
        <v>25.46</v>
      </c>
      <c r="T52" s="13">
        <v>5882</v>
      </c>
      <c r="U52" s="13">
        <v>8166</v>
      </c>
      <c r="V52" s="18" t="s">
        <v>181</v>
      </c>
      <c r="W52" s="18" t="s">
        <v>56</v>
      </c>
    </row>
    <row r="53" spans="1:23" x14ac:dyDescent="0.25">
      <c r="A53" s="10">
        <v>52</v>
      </c>
      <c r="B53" s="13">
        <v>909163</v>
      </c>
      <c r="C53" s="13">
        <v>908539</v>
      </c>
      <c r="D53" s="9">
        <v>1066.0999999999999</v>
      </c>
      <c r="E53" s="9">
        <v>177.3</v>
      </c>
      <c r="F53" s="11">
        <v>1.4655</v>
      </c>
      <c r="G53" s="13">
        <v>4015</v>
      </c>
      <c r="H53" s="13">
        <v>28405</v>
      </c>
      <c r="I53" s="10">
        <v>102</v>
      </c>
      <c r="J53" s="13">
        <v>1331</v>
      </c>
      <c r="K53" s="13">
        <v>2191</v>
      </c>
      <c r="L53" s="13">
        <v>0</v>
      </c>
      <c r="M53" s="13">
        <v>33</v>
      </c>
      <c r="N53" s="13">
        <v>346</v>
      </c>
      <c r="O53" s="13">
        <v>0</v>
      </c>
      <c r="P53" s="13">
        <v>114</v>
      </c>
      <c r="Q53" s="13">
        <v>38</v>
      </c>
      <c r="R53" s="13">
        <v>416</v>
      </c>
      <c r="S53" s="17">
        <v>25.47</v>
      </c>
      <c r="T53" s="13">
        <v>5741</v>
      </c>
      <c r="U53" s="13">
        <v>8261</v>
      </c>
      <c r="V53" s="18" t="s">
        <v>181</v>
      </c>
      <c r="W53" s="18" t="s">
        <v>56</v>
      </c>
    </row>
    <row r="54" spans="1:23" x14ac:dyDescent="0.25">
      <c r="A54" s="10">
        <v>53</v>
      </c>
      <c r="B54" s="13">
        <v>910598</v>
      </c>
      <c r="C54" s="13">
        <v>910045</v>
      </c>
      <c r="D54" s="9">
        <v>1065.5999999999999</v>
      </c>
      <c r="E54" s="9">
        <v>176.9</v>
      </c>
      <c r="F54" s="11">
        <v>1.4650000000000001</v>
      </c>
      <c r="G54" s="13">
        <v>1916</v>
      </c>
      <c r="H54" s="13">
        <v>28066</v>
      </c>
      <c r="I54" s="10">
        <v>103</v>
      </c>
      <c r="J54" s="13">
        <v>491</v>
      </c>
      <c r="K54" s="13">
        <v>1059</v>
      </c>
      <c r="L54" s="13">
        <v>0</v>
      </c>
      <c r="M54" s="13">
        <v>0</v>
      </c>
      <c r="N54" s="13">
        <v>366</v>
      </c>
      <c r="O54" s="13">
        <v>0</v>
      </c>
      <c r="P54" s="13">
        <v>0</v>
      </c>
      <c r="Q54" s="13">
        <v>31</v>
      </c>
      <c r="R54" s="13">
        <v>258</v>
      </c>
      <c r="S54" s="17">
        <v>25.47</v>
      </c>
      <c r="T54" s="13">
        <v>5702</v>
      </c>
      <c r="U54" s="13">
        <v>8083</v>
      </c>
      <c r="V54" s="18" t="s">
        <v>181</v>
      </c>
      <c r="W54" s="18" t="s">
        <v>56</v>
      </c>
    </row>
    <row r="55" spans="1:23" x14ac:dyDescent="0.25">
      <c r="A55" s="10">
        <v>54</v>
      </c>
      <c r="B55" s="13">
        <v>910724</v>
      </c>
      <c r="C55" s="13">
        <v>910191</v>
      </c>
      <c r="D55" s="9">
        <v>1063.3</v>
      </c>
      <c r="E55" s="9">
        <v>174.4</v>
      </c>
      <c r="F55" s="11">
        <v>1.4663999999999999</v>
      </c>
      <c r="G55" s="13">
        <v>1623</v>
      </c>
      <c r="H55" s="13">
        <v>28795</v>
      </c>
      <c r="I55" s="10">
        <v>102</v>
      </c>
      <c r="J55" s="13">
        <v>116</v>
      </c>
      <c r="K55" s="13">
        <v>1507</v>
      </c>
      <c r="L55" s="13">
        <v>0</v>
      </c>
      <c r="M55" s="13">
        <v>0</v>
      </c>
      <c r="N55" s="13">
        <v>0</v>
      </c>
      <c r="O55" s="13">
        <v>0</v>
      </c>
      <c r="P55" s="13">
        <v>0</v>
      </c>
      <c r="Q55" s="13">
        <v>40</v>
      </c>
      <c r="R55" s="13">
        <v>332</v>
      </c>
      <c r="S55" s="17">
        <v>25.46</v>
      </c>
      <c r="T55" s="13">
        <v>5759</v>
      </c>
      <c r="U55" s="13">
        <v>8190</v>
      </c>
      <c r="V55" s="18" t="s">
        <v>181</v>
      </c>
      <c r="W55" s="18" t="s">
        <v>56</v>
      </c>
    </row>
    <row r="56" spans="1:23" x14ac:dyDescent="0.25">
      <c r="A56" s="10">
        <v>55</v>
      </c>
      <c r="B56" s="13">
        <v>911128</v>
      </c>
      <c r="C56" s="13">
        <v>910600</v>
      </c>
      <c r="D56" s="9">
        <v>1063.9000000000001</v>
      </c>
      <c r="E56" s="9">
        <v>175.2</v>
      </c>
      <c r="F56" s="11">
        <v>1.4643999999999999</v>
      </c>
      <c r="G56" s="13">
        <v>3139</v>
      </c>
      <c r="H56" s="13">
        <v>28060</v>
      </c>
      <c r="I56" s="10">
        <v>105</v>
      </c>
      <c r="J56" s="13">
        <v>1103</v>
      </c>
      <c r="K56" s="13">
        <v>1069</v>
      </c>
      <c r="L56" s="13">
        <v>0</v>
      </c>
      <c r="M56" s="13">
        <v>0</v>
      </c>
      <c r="N56" s="13">
        <v>967</v>
      </c>
      <c r="O56" s="13">
        <v>0</v>
      </c>
      <c r="P56" s="13">
        <v>0</v>
      </c>
      <c r="Q56" s="13">
        <v>24</v>
      </c>
      <c r="R56" s="13">
        <v>221</v>
      </c>
      <c r="S56" s="17">
        <v>25.46</v>
      </c>
      <c r="T56" s="13">
        <v>5721</v>
      </c>
      <c r="U56" s="13">
        <v>8136</v>
      </c>
      <c r="V56" s="18" t="s">
        <v>182</v>
      </c>
      <c r="W56" s="18" t="s">
        <v>183</v>
      </c>
    </row>
    <row r="57" spans="1:23" x14ac:dyDescent="0.25">
      <c r="A57" s="10">
        <v>56</v>
      </c>
      <c r="B57" s="13">
        <v>910235</v>
      </c>
      <c r="C57" s="13">
        <v>909648</v>
      </c>
      <c r="D57" s="9">
        <v>1065.0999999999999</v>
      </c>
      <c r="E57" s="9">
        <v>176.3</v>
      </c>
      <c r="F57" s="11">
        <v>1.4652000000000001</v>
      </c>
      <c r="G57" s="13">
        <v>3284</v>
      </c>
      <c r="H57" s="13">
        <v>28254</v>
      </c>
      <c r="I57" s="10">
        <v>102</v>
      </c>
      <c r="J57" s="13">
        <v>102</v>
      </c>
      <c r="K57" s="13">
        <v>2736</v>
      </c>
      <c r="L57" s="13">
        <v>0</v>
      </c>
      <c r="M57" s="13">
        <v>0</v>
      </c>
      <c r="N57" s="13">
        <v>446</v>
      </c>
      <c r="O57" s="13">
        <v>0</v>
      </c>
      <c r="P57" s="13">
        <v>0</v>
      </c>
      <c r="Q57" s="13">
        <v>38</v>
      </c>
      <c r="R57" s="13">
        <v>293</v>
      </c>
      <c r="S57" s="17">
        <v>25.46</v>
      </c>
      <c r="T57" s="13">
        <v>5815</v>
      </c>
      <c r="U57" s="13">
        <v>8161</v>
      </c>
      <c r="V57" s="18" t="s">
        <v>181</v>
      </c>
      <c r="W57" s="18" t="s">
        <v>56</v>
      </c>
    </row>
    <row r="58" spans="1:23" x14ac:dyDescent="0.25">
      <c r="A58" s="10">
        <v>57</v>
      </c>
      <c r="B58" s="13">
        <v>911003</v>
      </c>
      <c r="C58" s="13">
        <v>910420</v>
      </c>
      <c r="D58" s="9">
        <v>1065.4000000000001</v>
      </c>
      <c r="E58" s="9">
        <v>176.5</v>
      </c>
      <c r="F58" s="11">
        <v>1.4662999999999999</v>
      </c>
      <c r="G58" s="13">
        <v>5141</v>
      </c>
      <c r="H58" s="13">
        <v>28203</v>
      </c>
      <c r="I58" s="10">
        <v>104</v>
      </c>
      <c r="J58" s="13">
        <v>960</v>
      </c>
      <c r="K58" s="13">
        <v>4139</v>
      </c>
      <c r="L58" s="13">
        <v>0</v>
      </c>
      <c r="M58" s="13">
        <v>40</v>
      </c>
      <c r="N58" s="13">
        <v>2</v>
      </c>
      <c r="O58" s="13">
        <v>0</v>
      </c>
      <c r="P58" s="13">
        <v>0</v>
      </c>
      <c r="Q58" s="13">
        <v>49</v>
      </c>
      <c r="R58" s="13">
        <v>421</v>
      </c>
      <c r="S58" s="17">
        <v>25.46</v>
      </c>
      <c r="T58" s="13">
        <v>5447</v>
      </c>
      <c r="U58" s="13">
        <v>8279</v>
      </c>
      <c r="V58" s="18" t="s">
        <v>181</v>
      </c>
      <c r="W58" s="18" t="s">
        <v>56</v>
      </c>
    </row>
    <row r="59" spans="1:23" x14ac:dyDescent="0.25">
      <c r="A59" s="10">
        <v>58</v>
      </c>
      <c r="B59" s="13">
        <v>911814</v>
      </c>
      <c r="C59" s="13">
        <v>911239</v>
      </c>
      <c r="D59" s="9">
        <v>1066.3</v>
      </c>
      <c r="E59" s="9">
        <v>176.6</v>
      </c>
      <c r="F59" s="11">
        <v>1.4648000000000001</v>
      </c>
      <c r="G59" s="13">
        <v>3354</v>
      </c>
      <c r="H59" s="13">
        <v>27954</v>
      </c>
      <c r="I59" s="10">
        <v>103</v>
      </c>
      <c r="J59" s="13">
        <v>104</v>
      </c>
      <c r="K59" s="13">
        <v>3072</v>
      </c>
      <c r="L59" s="13">
        <v>0</v>
      </c>
      <c r="M59" s="13">
        <v>0</v>
      </c>
      <c r="N59" s="13">
        <v>0</v>
      </c>
      <c r="O59" s="13">
        <v>0</v>
      </c>
      <c r="P59" s="13">
        <v>178</v>
      </c>
      <c r="Q59" s="13">
        <v>23</v>
      </c>
      <c r="R59" s="13">
        <v>143</v>
      </c>
      <c r="S59" s="17">
        <v>25.46</v>
      </c>
      <c r="T59" s="13">
        <v>5844</v>
      </c>
      <c r="U59" s="13">
        <v>8165</v>
      </c>
      <c r="V59" s="18" t="s">
        <v>181</v>
      </c>
      <c r="W59" s="18" t="s">
        <v>56</v>
      </c>
    </row>
    <row r="60" spans="1:23" x14ac:dyDescent="0.25">
      <c r="A60" s="10">
        <v>59</v>
      </c>
      <c r="B60" s="13">
        <v>912077</v>
      </c>
      <c r="C60" s="13">
        <v>911506</v>
      </c>
      <c r="D60" s="9">
        <v>1068</v>
      </c>
      <c r="E60" s="9">
        <v>178</v>
      </c>
      <c r="F60" s="11">
        <v>1.4678</v>
      </c>
      <c r="G60" s="13">
        <v>4472</v>
      </c>
      <c r="H60" s="13">
        <v>28324</v>
      </c>
      <c r="I60" s="10">
        <v>103</v>
      </c>
      <c r="J60" s="13">
        <v>2476</v>
      </c>
      <c r="K60" s="13">
        <v>1980</v>
      </c>
      <c r="L60" s="13">
        <v>16</v>
      </c>
      <c r="M60" s="13">
        <v>0</v>
      </c>
      <c r="N60" s="13">
        <v>0</v>
      </c>
      <c r="O60" s="13">
        <v>0</v>
      </c>
      <c r="P60" s="13">
        <v>0</v>
      </c>
      <c r="Q60" s="13">
        <v>49</v>
      </c>
      <c r="R60" s="13">
        <v>400</v>
      </c>
      <c r="S60" s="17">
        <v>25.47</v>
      </c>
      <c r="T60" s="13">
        <v>5638</v>
      </c>
      <c r="U60" s="13">
        <v>8248</v>
      </c>
      <c r="V60" s="18" t="s">
        <v>181</v>
      </c>
      <c r="W60" s="18" t="s">
        <v>56</v>
      </c>
    </row>
    <row r="61" spans="1:23" x14ac:dyDescent="0.25">
      <c r="A61" s="10">
        <v>60</v>
      </c>
      <c r="B61" s="13">
        <v>910549</v>
      </c>
      <c r="C61" s="13">
        <v>909989</v>
      </c>
      <c r="D61" s="9">
        <v>1066</v>
      </c>
      <c r="E61" s="9">
        <v>177.6</v>
      </c>
      <c r="F61" s="11">
        <v>1.4645999999999999</v>
      </c>
      <c r="G61" s="13">
        <v>2035</v>
      </c>
      <c r="H61" s="13">
        <v>28597</v>
      </c>
      <c r="I61" s="10">
        <v>103</v>
      </c>
      <c r="J61" s="13">
        <v>189</v>
      </c>
      <c r="K61" s="13">
        <v>1828</v>
      </c>
      <c r="L61" s="13">
        <v>0</v>
      </c>
      <c r="M61" s="13">
        <v>0</v>
      </c>
      <c r="N61" s="13">
        <v>18</v>
      </c>
      <c r="O61" s="13">
        <v>0</v>
      </c>
      <c r="P61" s="13">
        <v>0</v>
      </c>
      <c r="Q61" s="13">
        <v>35</v>
      </c>
      <c r="R61" s="13">
        <v>311</v>
      </c>
      <c r="S61" s="17">
        <v>25.48</v>
      </c>
      <c r="T61" s="13">
        <v>5733</v>
      </c>
      <c r="U61" s="13">
        <v>8039</v>
      </c>
      <c r="V61" s="18" t="s">
        <v>181</v>
      </c>
      <c r="W61" s="18" t="s">
        <v>56</v>
      </c>
    </row>
    <row r="62" spans="1:23" x14ac:dyDescent="0.25">
      <c r="A62" s="10">
        <v>61</v>
      </c>
      <c r="B62" s="13">
        <v>911895</v>
      </c>
      <c r="C62" s="13">
        <v>911310</v>
      </c>
      <c r="D62" s="9">
        <v>1059.9000000000001</v>
      </c>
      <c r="E62" s="9">
        <v>171.6</v>
      </c>
      <c r="F62" s="11">
        <v>1.4651000000000001</v>
      </c>
      <c r="G62" s="13">
        <v>376</v>
      </c>
      <c r="H62" s="13">
        <v>28320</v>
      </c>
      <c r="I62" s="10">
        <v>104</v>
      </c>
      <c r="J62" s="13">
        <v>48</v>
      </c>
      <c r="K62" s="13">
        <v>208</v>
      </c>
      <c r="L62" s="13">
        <v>0</v>
      </c>
      <c r="M62" s="13">
        <v>0</v>
      </c>
      <c r="N62" s="13">
        <v>120</v>
      </c>
      <c r="O62" s="13">
        <v>0</v>
      </c>
      <c r="P62" s="13">
        <v>0</v>
      </c>
      <c r="Q62" s="13">
        <v>46</v>
      </c>
      <c r="R62" s="13">
        <v>420</v>
      </c>
      <c r="S62" s="17">
        <v>25.45</v>
      </c>
      <c r="T62" s="13">
        <v>5614</v>
      </c>
      <c r="U62" s="13">
        <v>8290</v>
      </c>
      <c r="V62" s="18" t="s">
        <v>182</v>
      </c>
      <c r="W62" s="18" t="s">
        <v>183</v>
      </c>
    </row>
    <row r="63" spans="1:23" x14ac:dyDescent="0.25">
      <c r="A63" s="10">
        <v>62</v>
      </c>
      <c r="B63" s="13">
        <v>910772</v>
      </c>
      <c r="C63" s="13">
        <v>910090</v>
      </c>
      <c r="D63" s="9">
        <v>1066.5999999999999</v>
      </c>
      <c r="E63" s="9">
        <v>176.9</v>
      </c>
      <c r="F63" s="11">
        <v>1.4654</v>
      </c>
      <c r="G63" s="13">
        <v>3066</v>
      </c>
      <c r="H63" s="13">
        <v>28005</v>
      </c>
      <c r="I63" s="10">
        <v>104</v>
      </c>
      <c r="J63" s="13">
        <v>264</v>
      </c>
      <c r="K63" s="13">
        <v>2802</v>
      </c>
      <c r="L63" s="13">
        <v>0</v>
      </c>
      <c r="M63" s="13">
        <v>0</v>
      </c>
      <c r="N63" s="13">
        <v>0</v>
      </c>
      <c r="O63" s="13">
        <v>0</v>
      </c>
      <c r="P63" s="13">
        <v>0</v>
      </c>
      <c r="Q63" s="13">
        <v>53</v>
      </c>
      <c r="R63" s="13">
        <v>526</v>
      </c>
      <c r="S63" s="17">
        <v>25.47</v>
      </c>
      <c r="T63" s="13">
        <v>5872</v>
      </c>
      <c r="U63" s="13">
        <v>8148</v>
      </c>
      <c r="V63" s="18" t="s">
        <v>181</v>
      </c>
      <c r="W63" s="18" t="s">
        <v>56</v>
      </c>
    </row>
    <row r="64" spans="1:23" x14ac:dyDescent="0.25">
      <c r="A64" s="10">
        <v>63</v>
      </c>
      <c r="B64" s="13">
        <v>908961</v>
      </c>
      <c r="C64" s="13">
        <v>908315</v>
      </c>
      <c r="D64" s="9">
        <v>1072.0999999999999</v>
      </c>
      <c r="E64" s="9">
        <v>183.3</v>
      </c>
      <c r="F64" s="11">
        <v>1.4662999999999999</v>
      </c>
      <c r="G64" s="13">
        <v>19680</v>
      </c>
      <c r="H64" s="13">
        <v>28626</v>
      </c>
      <c r="I64" s="10">
        <v>101</v>
      </c>
      <c r="J64" s="13">
        <v>35</v>
      </c>
      <c r="K64" s="13">
        <v>19382</v>
      </c>
      <c r="L64" s="13">
        <v>0</v>
      </c>
      <c r="M64" s="13">
        <v>0</v>
      </c>
      <c r="N64" s="13">
        <v>263</v>
      </c>
      <c r="O64" s="13">
        <v>0</v>
      </c>
      <c r="P64" s="13">
        <v>0</v>
      </c>
      <c r="Q64" s="13">
        <v>53</v>
      </c>
      <c r="R64" s="13">
        <v>485</v>
      </c>
      <c r="S64" s="17">
        <v>25.47</v>
      </c>
      <c r="T64" s="13">
        <v>5838</v>
      </c>
      <c r="U64" s="13">
        <v>8140</v>
      </c>
      <c r="V64" s="18" t="s">
        <v>181</v>
      </c>
      <c r="W64" s="18" t="s">
        <v>56</v>
      </c>
    </row>
    <row r="65" spans="1:23" x14ac:dyDescent="0.25">
      <c r="A65" s="10">
        <v>64</v>
      </c>
      <c r="B65" s="13">
        <v>911812</v>
      </c>
      <c r="C65" s="13">
        <v>911173</v>
      </c>
      <c r="D65" s="9">
        <v>1063.5</v>
      </c>
      <c r="E65" s="9">
        <v>174.6</v>
      </c>
      <c r="F65" s="11">
        <v>1.466</v>
      </c>
      <c r="G65" s="13">
        <v>3971</v>
      </c>
      <c r="H65" s="13">
        <v>28178</v>
      </c>
      <c r="I65" s="10">
        <v>104</v>
      </c>
      <c r="J65" s="13">
        <v>29</v>
      </c>
      <c r="K65" s="13">
        <v>3942</v>
      </c>
      <c r="L65" s="13">
        <v>0</v>
      </c>
      <c r="M65" s="13">
        <v>0</v>
      </c>
      <c r="N65" s="13">
        <v>0</v>
      </c>
      <c r="O65" s="13">
        <v>0</v>
      </c>
      <c r="P65" s="13">
        <v>0</v>
      </c>
      <c r="Q65" s="13">
        <v>47</v>
      </c>
      <c r="R65" s="13">
        <v>364</v>
      </c>
      <c r="S65" s="17">
        <v>25.46</v>
      </c>
      <c r="T65" s="13">
        <v>5578</v>
      </c>
      <c r="U65" s="13">
        <v>8195</v>
      </c>
      <c r="V65" s="18" t="s">
        <v>181</v>
      </c>
      <c r="W65" s="18" t="s">
        <v>56</v>
      </c>
    </row>
    <row r="66" spans="1:23" x14ac:dyDescent="0.25">
      <c r="A66" s="10">
        <v>65</v>
      </c>
      <c r="B66" s="13">
        <v>911858</v>
      </c>
      <c r="C66" s="13">
        <v>911241</v>
      </c>
      <c r="D66" s="9">
        <v>1067.4000000000001</v>
      </c>
      <c r="E66" s="9">
        <v>178.8</v>
      </c>
      <c r="F66" s="11">
        <v>1.4656</v>
      </c>
      <c r="G66" s="13">
        <v>7751</v>
      </c>
      <c r="H66" s="13">
        <v>28223</v>
      </c>
      <c r="I66" s="10">
        <v>104</v>
      </c>
      <c r="J66" s="13">
        <v>1840</v>
      </c>
      <c r="K66" s="13">
        <v>4733</v>
      </c>
      <c r="L66" s="13">
        <v>0</v>
      </c>
      <c r="M66" s="13">
        <v>1059</v>
      </c>
      <c r="N66" s="13">
        <v>119</v>
      </c>
      <c r="O66" s="13">
        <v>0</v>
      </c>
      <c r="P66" s="13">
        <v>0</v>
      </c>
      <c r="Q66" s="13">
        <v>34</v>
      </c>
      <c r="R66" s="13">
        <v>302</v>
      </c>
      <c r="S66" s="17">
        <v>25.47</v>
      </c>
      <c r="T66" s="13">
        <v>5771</v>
      </c>
      <c r="U66" s="13">
        <v>8177</v>
      </c>
      <c r="V66" s="18" t="s">
        <v>181</v>
      </c>
      <c r="W66" s="18" t="s">
        <v>56</v>
      </c>
    </row>
    <row r="67" spans="1:23" x14ac:dyDescent="0.25">
      <c r="A67" s="10">
        <v>66</v>
      </c>
      <c r="B67" s="13">
        <v>912804</v>
      </c>
      <c r="C67" s="13">
        <v>912237</v>
      </c>
      <c r="D67" s="9">
        <v>1068.0999999999999</v>
      </c>
      <c r="E67" s="9">
        <v>179.8</v>
      </c>
      <c r="F67" s="11">
        <v>1.4642999999999999</v>
      </c>
      <c r="G67" s="13">
        <v>4898</v>
      </c>
      <c r="H67" s="13">
        <v>27801</v>
      </c>
      <c r="I67" s="10">
        <v>102</v>
      </c>
      <c r="J67" s="13">
        <v>1452</v>
      </c>
      <c r="K67" s="13">
        <v>2612</v>
      </c>
      <c r="L67" s="13">
        <v>0</v>
      </c>
      <c r="M67" s="13">
        <v>0</v>
      </c>
      <c r="N67" s="13">
        <v>834</v>
      </c>
      <c r="O67" s="13">
        <v>0</v>
      </c>
      <c r="P67" s="13">
        <v>0</v>
      </c>
      <c r="Q67" s="13">
        <v>42</v>
      </c>
      <c r="R67" s="13">
        <v>391</v>
      </c>
      <c r="S67" s="17">
        <v>25.48</v>
      </c>
      <c r="T67" s="13">
        <v>5848</v>
      </c>
      <c r="U67" s="13">
        <v>8135</v>
      </c>
      <c r="V67" s="18" t="s">
        <v>181</v>
      </c>
      <c r="W67" s="18" t="s">
        <v>56</v>
      </c>
    </row>
    <row r="68" spans="1:23" x14ac:dyDescent="0.25">
      <c r="A68" s="10">
        <v>67</v>
      </c>
      <c r="B68" s="13">
        <v>909890</v>
      </c>
      <c r="C68" s="13">
        <v>909287</v>
      </c>
      <c r="D68" s="9">
        <v>1063.4000000000001</v>
      </c>
      <c r="E68" s="9">
        <v>174</v>
      </c>
      <c r="F68" s="11">
        <v>1.4661999999999999</v>
      </c>
      <c r="G68" s="13">
        <v>1640</v>
      </c>
      <c r="H68" s="13">
        <v>28277</v>
      </c>
      <c r="I68" s="10">
        <v>105</v>
      </c>
      <c r="J68" s="13">
        <v>97</v>
      </c>
      <c r="K68" s="13">
        <v>1196</v>
      </c>
      <c r="L68" s="13">
        <v>0</v>
      </c>
      <c r="M68" s="13">
        <v>191</v>
      </c>
      <c r="N68" s="13">
        <v>156</v>
      </c>
      <c r="O68" s="13">
        <v>0</v>
      </c>
      <c r="P68" s="13">
        <v>0</v>
      </c>
      <c r="Q68" s="13">
        <v>28</v>
      </c>
      <c r="R68" s="13">
        <v>278</v>
      </c>
      <c r="S68" s="17">
        <v>25.46</v>
      </c>
      <c r="T68" s="13">
        <v>5769</v>
      </c>
      <c r="U68" s="13">
        <v>8191</v>
      </c>
      <c r="V68" s="18" t="s">
        <v>181</v>
      </c>
      <c r="W68" s="18" t="s">
        <v>56</v>
      </c>
    </row>
    <row r="69" spans="1:23" x14ac:dyDescent="0.25">
      <c r="A69" s="10">
        <v>68</v>
      </c>
      <c r="B69" s="13">
        <v>910829</v>
      </c>
      <c r="C69" s="13">
        <v>910274</v>
      </c>
      <c r="D69" s="9">
        <v>1066.2</v>
      </c>
      <c r="E69" s="9">
        <v>178</v>
      </c>
      <c r="F69" s="11">
        <v>1.4653</v>
      </c>
      <c r="G69" s="13">
        <v>5880</v>
      </c>
      <c r="H69" s="13">
        <v>27969</v>
      </c>
      <c r="I69" s="10">
        <v>102</v>
      </c>
      <c r="J69" s="13">
        <v>25</v>
      </c>
      <c r="K69" s="13">
        <v>5029</v>
      </c>
      <c r="L69" s="13">
        <v>0</v>
      </c>
      <c r="M69" s="13">
        <v>0</v>
      </c>
      <c r="N69" s="13">
        <v>826</v>
      </c>
      <c r="O69" s="13">
        <v>0</v>
      </c>
      <c r="P69" s="13">
        <v>0</v>
      </c>
      <c r="Q69" s="13">
        <v>35</v>
      </c>
      <c r="R69" s="13">
        <v>277</v>
      </c>
      <c r="S69" s="17">
        <v>25.47</v>
      </c>
      <c r="T69" s="13">
        <v>5580</v>
      </c>
      <c r="U69" s="13">
        <v>8228</v>
      </c>
      <c r="V69" s="18" t="s">
        <v>181</v>
      </c>
      <c r="W69" s="18" t="s">
        <v>56</v>
      </c>
    </row>
    <row r="70" spans="1:23" x14ac:dyDescent="0.25">
      <c r="A70" s="10">
        <v>69</v>
      </c>
      <c r="B70" s="13">
        <v>909691</v>
      </c>
      <c r="C70" s="13">
        <v>909103</v>
      </c>
      <c r="D70" s="9">
        <v>1064.0999999999999</v>
      </c>
      <c r="E70" s="9">
        <v>175</v>
      </c>
      <c r="F70" s="11">
        <v>1.4655</v>
      </c>
      <c r="G70" s="13">
        <v>1561</v>
      </c>
      <c r="H70" s="13">
        <v>27891</v>
      </c>
      <c r="I70" s="10">
        <v>105</v>
      </c>
      <c r="J70" s="13">
        <v>48</v>
      </c>
      <c r="K70" s="13">
        <v>1229</v>
      </c>
      <c r="L70" s="13">
        <v>0</v>
      </c>
      <c r="M70" s="13">
        <v>0</v>
      </c>
      <c r="N70" s="13">
        <v>284</v>
      </c>
      <c r="O70" s="13">
        <v>0</v>
      </c>
      <c r="P70" s="13">
        <v>0</v>
      </c>
      <c r="Q70" s="13">
        <v>43</v>
      </c>
      <c r="R70" s="13">
        <v>425</v>
      </c>
      <c r="S70" s="17">
        <v>25.46</v>
      </c>
      <c r="T70" s="13">
        <v>5704</v>
      </c>
      <c r="U70" s="13">
        <v>8217</v>
      </c>
      <c r="V70" s="18" t="s">
        <v>181</v>
      </c>
      <c r="W70" s="18" t="s">
        <v>56</v>
      </c>
    </row>
    <row r="71" spans="1:23" x14ac:dyDescent="0.25">
      <c r="A71" s="10">
        <v>70</v>
      </c>
      <c r="B71" s="13">
        <v>910118</v>
      </c>
      <c r="C71" s="13">
        <v>909494</v>
      </c>
      <c r="D71" s="9">
        <v>1067</v>
      </c>
      <c r="E71" s="9">
        <v>177.8</v>
      </c>
      <c r="F71" s="11">
        <v>1.4661</v>
      </c>
      <c r="G71" s="13">
        <v>4866</v>
      </c>
      <c r="H71" s="13">
        <v>28452</v>
      </c>
      <c r="I71" s="10">
        <v>103</v>
      </c>
      <c r="J71" s="13">
        <v>489</v>
      </c>
      <c r="K71" s="13">
        <v>3644</v>
      </c>
      <c r="L71" s="13">
        <v>0</v>
      </c>
      <c r="M71" s="13">
        <v>46</v>
      </c>
      <c r="N71" s="13">
        <v>687</v>
      </c>
      <c r="O71" s="13">
        <v>0</v>
      </c>
      <c r="P71" s="13">
        <v>0</v>
      </c>
      <c r="Q71" s="13">
        <v>37</v>
      </c>
      <c r="R71" s="13">
        <v>332</v>
      </c>
      <c r="S71" s="17">
        <v>25.46</v>
      </c>
      <c r="T71" s="13">
        <v>5791</v>
      </c>
      <c r="U71" s="13">
        <v>8169</v>
      </c>
      <c r="V71" s="18" t="s">
        <v>181</v>
      </c>
      <c r="W71" s="18" t="s">
        <v>56</v>
      </c>
    </row>
    <row r="72" spans="1:23" x14ac:dyDescent="0.25">
      <c r="A72" s="10">
        <v>71</v>
      </c>
      <c r="B72" s="13">
        <v>910895</v>
      </c>
      <c r="C72" s="13">
        <v>910293</v>
      </c>
      <c r="D72" s="9">
        <v>1064.8</v>
      </c>
      <c r="E72" s="9">
        <v>175.9</v>
      </c>
      <c r="F72" s="11">
        <v>1.4659</v>
      </c>
      <c r="G72" s="13">
        <v>3003</v>
      </c>
      <c r="H72" s="13">
        <v>28146</v>
      </c>
      <c r="I72" s="10">
        <v>103</v>
      </c>
      <c r="J72" s="13">
        <v>1523</v>
      </c>
      <c r="K72" s="13">
        <v>1014</v>
      </c>
      <c r="L72" s="13">
        <v>466</v>
      </c>
      <c r="M72" s="13">
        <v>0</v>
      </c>
      <c r="N72" s="13">
        <v>0</v>
      </c>
      <c r="O72" s="13">
        <v>0</v>
      </c>
      <c r="P72" s="13">
        <v>0</v>
      </c>
      <c r="Q72" s="13">
        <v>46</v>
      </c>
      <c r="R72" s="13">
        <v>374</v>
      </c>
      <c r="S72" s="17">
        <v>25.46</v>
      </c>
      <c r="T72" s="13">
        <v>5832</v>
      </c>
      <c r="U72" s="13">
        <v>8197</v>
      </c>
      <c r="V72" s="18" t="s">
        <v>181</v>
      </c>
      <c r="W72" s="18" t="s">
        <v>56</v>
      </c>
    </row>
    <row r="73" spans="1:23" x14ac:dyDescent="0.25">
      <c r="A73" s="10">
        <v>72</v>
      </c>
      <c r="B73" s="13">
        <v>909974</v>
      </c>
      <c r="C73" s="13">
        <v>909431</v>
      </c>
      <c r="D73" s="9">
        <v>1066.5</v>
      </c>
      <c r="E73" s="9">
        <v>177.4</v>
      </c>
      <c r="F73" s="11">
        <v>1.466</v>
      </c>
      <c r="G73" s="13">
        <v>4525</v>
      </c>
      <c r="H73" s="13">
        <v>28510</v>
      </c>
      <c r="I73" s="10">
        <v>101</v>
      </c>
      <c r="J73" s="13">
        <v>411</v>
      </c>
      <c r="K73" s="13">
        <v>3978</v>
      </c>
      <c r="L73" s="13">
        <v>0</v>
      </c>
      <c r="M73" s="13">
        <v>99</v>
      </c>
      <c r="N73" s="13">
        <v>37</v>
      </c>
      <c r="O73" s="13">
        <v>0</v>
      </c>
      <c r="P73" s="13">
        <v>0</v>
      </c>
      <c r="Q73" s="13">
        <v>38</v>
      </c>
      <c r="R73" s="13">
        <v>407</v>
      </c>
      <c r="S73" s="17">
        <v>25.47</v>
      </c>
      <c r="T73" s="13">
        <v>5635</v>
      </c>
      <c r="U73" s="13">
        <v>8135</v>
      </c>
      <c r="V73" s="18" t="s">
        <v>181</v>
      </c>
      <c r="W73" s="18" t="s">
        <v>56</v>
      </c>
    </row>
    <row r="74" spans="1:23" x14ac:dyDescent="0.25">
      <c r="A74" s="10">
        <v>73</v>
      </c>
      <c r="B74" s="13">
        <v>910171</v>
      </c>
      <c r="C74" s="13">
        <v>909579</v>
      </c>
      <c r="D74" s="9">
        <v>1062.5</v>
      </c>
      <c r="E74" s="9">
        <v>174.2</v>
      </c>
      <c r="F74" s="11">
        <v>1.4644999999999999</v>
      </c>
      <c r="G74" s="13">
        <v>3413</v>
      </c>
      <c r="H74" s="13">
        <v>27938</v>
      </c>
      <c r="I74" s="10">
        <v>104</v>
      </c>
      <c r="J74" s="13">
        <v>706</v>
      </c>
      <c r="K74" s="13">
        <v>1272</v>
      </c>
      <c r="L74" s="13">
        <v>0</v>
      </c>
      <c r="M74" s="13">
        <v>0</v>
      </c>
      <c r="N74" s="13">
        <v>1435</v>
      </c>
      <c r="O74" s="13">
        <v>0</v>
      </c>
      <c r="P74" s="13">
        <v>0</v>
      </c>
      <c r="Q74" s="13">
        <v>38</v>
      </c>
      <c r="R74" s="13">
        <v>368</v>
      </c>
      <c r="S74" s="17">
        <v>25.46</v>
      </c>
      <c r="T74" s="13">
        <v>5571</v>
      </c>
      <c r="U74" s="13">
        <v>8261</v>
      </c>
      <c r="V74" s="18" t="s">
        <v>181</v>
      </c>
      <c r="W74" s="18" t="s">
        <v>56</v>
      </c>
    </row>
    <row r="75" spans="1:23" x14ac:dyDescent="0.25">
      <c r="A75" s="10">
        <v>74</v>
      </c>
      <c r="B75" s="13">
        <v>910684</v>
      </c>
      <c r="C75" s="13">
        <v>910112</v>
      </c>
      <c r="D75" s="9">
        <v>1062.7</v>
      </c>
      <c r="E75" s="9">
        <v>174</v>
      </c>
      <c r="F75" s="11">
        <v>1.4661999999999999</v>
      </c>
      <c r="G75" s="13">
        <v>1735</v>
      </c>
      <c r="H75" s="13">
        <v>28203</v>
      </c>
      <c r="I75" s="10">
        <v>104</v>
      </c>
      <c r="J75" s="13">
        <v>554</v>
      </c>
      <c r="K75" s="13">
        <v>1100</v>
      </c>
      <c r="L75" s="13">
        <v>0</v>
      </c>
      <c r="M75" s="13">
        <v>0</v>
      </c>
      <c r="N75" s="13">
        <v>81</v>
      </c>
      <c r="O75" s="13">
        <v>0</v>
      </c>
      <c r="P75" s="13">
        <v>0</v>
      </c>
      <c r="Q75" s="13">
        <v>58</v>
      </c>
      <c r="R75" s="13">
        <v>625</v>
      </c>
      <c r="S75" s="17">
        <v>25.46</v>
      </c>
      <c r="T75" s="13">
        <v>5559</v>
      </c>
      <c r="U75" s="13">
        <v>8145</v>
      </c>
      <c r="V75" s="18" t="s">
        <v>181</v>
      </c>
      <c r="W75" s="18" t="s">
        <v>56</v>
      </c>
    </row>
    <row r="76" spans="1:23" x14ac:dyDescent="0.25">
      <c r="A76" s="10">
        <v>75</v>
      </c>
      <c r="B76" s="13">
        <v>912496</v>
      </c>
      <c r="C76" s="13">
        <v>911888</v>
      </c>
      <c r="D76" s="9">
        <v>1065.5</v>
      </c>
      <c r="E76" s="9">
        <v>176.9</v>
      </c>
      <c r="F76" s="11">
        <v>1.4655</v>
      </c>
      <c r="G76" s="13">
        <v>3536</v>
      </c>
      <c r="H76" s="13">
        <v>27961</v>
      </c>
      <c r="I76" s="10">
        <v>104</v>
      </c>
      <c r="J76" s="13">
        <v>1121</v>
      </c>
      <c r="K76" s="13">
        <v>2415</v>
      </c>
      <c r="L76" s="13">
        <v>0</v>
      </c>
      <c r="M76" s="13">
        <v>0</v>
      </c>
      <c r="N76" s="13">
        <v>0</v>
      </c>
      <c r="O76" s="13">
        <v>0</v>
      </c>
      <c r="P76" s="13">
        <v>0</v>
      </c>
      <c r="Q76" s="13">
        <v>48</v>
      </c>
      <c r="R76" s="13">
        <v>423</v>
      </c>
      <c r="S76" s="17">
        <v>25.46</v>
      </c>
      <c r="T76" s="13">
        <v>5796</v>
      </c>
      <c r="U76" s="13">
        <v>8147</v>
      </c>
      <c r="V76" s="18" t="s">
        <v>181</v>
      </c>
      <c r="W76" s="18" t="s">
        <v>56</v>
      </c>
    </row>
    <row r="77" spans="1:23" x14ac:dyDescent="0.25">
      <c r="A77" s="10">
        <v>76</v>
      </c>
      <c r="B77" s="13">
        <v>910981</v>
      </c>
      <c r="C77" s="13">
        <v>910323</v>
      </c>
      <c r="D77" s="9">
        <v>1066.8</v>
      </c>
      <c r="E77" s="9">
        <v>177.5</v>
      </c>
      <c r="F77" s="11">
        <v>1.466</v>
      </c>
      <c r="G77" s="13">
        <v>3118</v>
      </c>
      <c r="H77" s="13">
        <v>28066</v>
      </c>
      <c r="I77" s="10">
        <v>101</v>
      </c>
      <c r="J77" s="13">
        <v>1018</v>
      </c>
      <c r="K77" s="13">
        <v>511</v>
      </c>
      <c r="L77" s="13">
        <v>0</v>
      </c>
      <c r="M77" s="13">
        <v>395</v>
      </c>
      <c r="N77" s="13">
        <v>1194</v>
      </c>
      <c r="O77" s="13">
        <v>0</v>
      </c>
      <c r="P77" s="13">
        <v>0</v>
      </c>
      <c r="Q77" s="13">
        <v>34</v>
      </c>
      <c r="R77" s="13">
        <v>329</v>
      </c>
      <c r="S77" s="17">
        <v>25.47</v>
      </c>
      <c r="T77" s="13">
        <v>5642</v>
      </c>
      <c r="U77" s="13">
        <v>7887</v>
      </c>
      <c r="V77" s="18" t="s">
        <v>181</v>
      </c>
      <c r="W77" s="18" t="s">
        <v>56</v>
      </c>
    </row>
    <row r="78" spans="1:23" x14ac:dyDescent="0.25">
      <c r="A78" s="10">
        <v>77</v>
      </c>
      <c r="B78" s="13">
        <v>909322</v>
      </c>
      <c r="C78" s="13">
        <v>908730</v>
      </c>
      <c r="D78" s="9">
        <v>1063.5</v>
      </c>
      <c r="E78" s="9">
        <v>174.6</v>
      </c>
      <c r="F78" s="11">
        <v>1.4649000000000001</v>
      </c>
      <c r="G78" s="13">
        <v>3656</v>
      </c>
      <c r="H78" s="13">
        <v>28063</v>
      </c>
      <c r="I78" s="10">
        <v>103</v>
      </c>
      <c r="J78" s="13">
        <v>0</v>
      </c>
      <c r="K78" s="13">
        <v>3656</v>
      </c>
      <c r="L78" s="13">
        <v>0</v>
      </c>
      <c r="M78" s="13">
        <v>0</v>
      </c>
      <c r="N78" s="13">
        <v>0</v>
      </c>
      <c r="O78" s="13">
        <v>0</v>
      </c>
      <c r="P78" s="13">
        <v>0</v>
      </c>
      <c r="Q78" s="13">
        <v>41</v>
      </c>
      <c r="R78" s="13">
        <v>454</v>
      </c>
      <c r="S78" s="17">
        <v>25.47</v>
      </c>
      <c r="T78" s="13">
        <v>5794</v>
      </c>
      <c r="U78" s="13">
        <v>8129</v>
      </c>
      <c r="V78" s="18" t="s">
        <v>181</v>
      </c>
      <c r="W78" s="18" t="s">
        <v>56</v>
      </c>
    </row>
    <row r="79" spans="1:23" x14ac:dyDescent="0.25">
      <c r="A79" s="10">
        <v>78</v>
      </c>
      <c r="B79" s="13">
        <v>912039</v>
      </c>
      <c r="C79" s="13">
        <v>911470</v>
      </c>
      <c r="D79" s="9">
        <v>1068.4000000000001</v>
      </c>
      <c r="E79" s="9">
        <v>180.1</v>
      </c>
      <c r="F79" s="11">
        <v>1.4653</v>
      </c>
      <c r="G79" s="13">
        <v>9026</v>
      </c>
      <c r="H79" s="13">
        <v>28635</v>
      </c>
      <c r="I79" s="10">
        <v>101</v>
      </c>
      <c r="J79" s="13">
        <v>630</v>
      </c>
      <c r="K79" s="13">
        <v>8347</v>
      </c>
      <c r="L79" s="13">
        <v>0</v>
      </c>
      <c r="M79" s="13">
        <v>1</v>
      </c>
      <c r="N79" s="13">
        <v>0</v>
      </c>
      <c r="O79" s="13">
        <v>0</v>
      </c>
      <c r="P79" s="13">
        <v>48</v>
      </c>
      <c r="Q79" s="13">
        <v>40</v>
      </c>
      <c r="R79" s="13">
        <v>427</v>
      </c>
      <c r="S79" s="17">
        <v>25.47</v>
      </c>
      <c r="T79" s="13">
        <v>5477</v>
      </c>
      <c r="U79" s="13">
        <v>8026</v>
      </c>
      <c r="V79" s="18" t="s">
        <v>182</v>
      </c>
      <c r="W79" s="18" t="s">
        <v>183</v>
      </c>
    </row>
    <row r="80" spans="1:23" x14ac:dyDescent="0.25">
      <c r="A80" s="10">
        <v>79</v>
      </c>
      <c r="B80" s="13">
        <v>911658</v>
      </c>
      <c r="C80" s="13">
        <v>911098</v>
      </c>
      <c r="D80" s="9">
        <v>1067.2</v>
      </c>
      <c r="E80" s="9">
        <v>178</v>
      </c>
      <c r="F80" s="11">
        <v>1.4657</v>
      </c>
      <c r="G80" s="13">
        <v>7629</v>
      </c>
      <c r="H80" s="13">
        <v>28669</v>
      </c>
      <c r="I80" s="10">
        <v>104</v>
      </c>
      <c r="J80" s="13">
        <v>2932</v>
      </c>
      <c r="K80" s="13">
        <v>4195</v>
      </c>
      <c r="L80" s="13">
        <v>0</v>
      </c>
      <c r="M80" s="13">
        <v>283</v>
      </c>
      <c r="N80" s="13">
        <v>130</v>
      </c>
      <c r="O80" s="13">
        <v>0</v>
      </c>
      <c r="P80" s="13">
        <v>89</v>
      </c>
      <c r="Q80" s="13">
        <v>21</v>
      </c>
      <c r="R80" s="13">
        <v>227</v>
      </c>
      <c r="S80" s="17">
        <v>25.46</v>
      </c>
      <c r="T80" s="13">
        <v>6020</v>
      </c>
      <c r="U80" s="13">
        <v>8251</v>
      </c>
      <c r="V80" s="18" t="s">
        <v>181</v>
      </c>
      <c r="W80" s="18" t="s">
        <v>56</v>
      </c>
    </row>
    <row r="81" spans="1:23" x14ac:dyDescent="0.25">
      <c r="A81" s="10">
        <v>80</v>
      </c>
      <c r="B81" s="13">
        <v>911125</v>
      </c>
      <c r="C81" s="13">
        <v>910560</v>
      </c>
      <c r="D81" s="9">
        <v>1063.0999999999999</v>
      </c>
      <c r="E81" s="9">
        <v>174.4</v>
      </c>
      <c r="F81" s="11">
        <v>1.4658</v>
      </c>
      <c r="G81" s="13">
        <v>2843</v>
      </c>
      <c r="H81" s="13">
        <v>28519</v>
      </c>
      <c r="I81" s="10">
        <v>103</v>
      </c>
      <c r="J81" s="13">
        <v>1069</v>
      </c>
      <c r="K81" s="13">
        <v>1774</v>
      </c>
      <c r="L81" s="13">
        <v>0</v>
      </c>
      <c r="M81" s="13">
        <v>0</v>
      </c>
      <c r="N81" s="13">
        <v>0</v>
      </c>
      <c r="O81" s="13">
        <v>0</v>
      </c>
      <c r="P81" s="13">
        <v>0</v>
      </c>
      <c r="Q81" s="13">
        <v>36</v>
      </c>
      <c r="R81" s="13">
        <v>325</v>
      </c>
      <c r="S81" s="17">
        <v>25.46</v>
      </c>
      <c r="T81" s="13">
        <v>5764</v>
      </c>
      <c r="U81" s="13">
        <v>8086</v>
      </c>
      <c r="V81" s="18" t="s">
        <v>181</v>
      </c>
      <c r="W81" s="18" t="s">
        <v>56</v>
      </c>
    </row>
    <row r="82" spans="1:23" x14ac:dyDescent="0.25">
      <c r="A82" s="10">
        <v>81</v>
      </c>
      <c r="B82" s="13">
        <v>909585</v>
      </c>
      <c r="C82" s="13">
        <v>909066</v>
      </c>
      <c r="D82" s="9">
        <v>1066.7</v>
      </c>
      <c r="E82" s="9">
        <v>177.3</v>
      </c>
      <c r="F82" s="11">
        <v>1.4661999999999999</v>
      </c>
      <c r="G82" s="13">
        <v>3440</v>
      </c>
      <c r="H82" s="13">
        <v>28675</v>
      </c>
      <c r="I82" s="10">
        <v>102</v>
      </c>
      <c r="J82" s="13">
        <v>1075</v>
      </c>
      <c r="K82" s="13">
        <v>2167</v>
      </c>
      <c r="L82" s="13">
        <v>0</v>
      </c>
      <c r="M82" s="13">
        <v>0</v>
      </c>
      <c r="N82" s="13">
        <v>198</v>
      </c>
      <c r="O82" s="13">
        <v>0</v>
      </c>
      <c r="P82" s="13">
        <v>0</v>
      </c>
      <c r="Q82" s="13">
        <v>42</v>
      </c>
      <c r="R82" s="13">
        <v>443</v>
      </c>
      <c r="S82" s="17">
        <v>25.47</v>
      </c>
      <c r="T82" s="13">
        <v>5573</v>
      </c>
      <c r="U82" s="13">
        <v>8071</v>
      </c>
      <c r="V82" s="18" t="s">
        <v>181</v>
      </c>
      <c r="W82" s="18" t="s">
        <v>56</v>
      </c>
    </row>
    <row r="83" spans="1:23" x14ac:dyDescent="0.25">
      <c r="A83" s="10">
        <v>82</v>
      </c>
      <c r="B83" s="13">
        <v>910578</v>
      </c>
      <c r="C83" s="13">
        <v>909902</v>
      </c>
      <c r="D83" s="9">
        <v>1065.4000000000001</v>
      </c>
      <c r="E83" s="9">
        <v>176.4</v>
      </c>
      <c r="F83" s="11">
        <v>1.4657</v>
      </c>
      <c r="G83" s="13">
        <v>2827</v>
      </c>
      <c r="H83" s="13">
        <v>28490</v>
      </c>
      <c r="I83" s="10">
        <v>103</v>
      </c>
      <c r="J83" s="13">
        <v>280</v>
      </c>
      <c r="K83" s="13">
        <v>2547</v>
      </c>
      <c r="L83" s="13">
        <v>0</v>
      </c>
      <c r="M83" s="13">
        <v>0</v>
      </c>
      <c r="N83" s="13">
        <v>0</v>
      </c>
      <c r="O83" s="13">
        <v>0</v>
      </c>
      <c r="P83" s="13">
        <v>0</v>
      </c>
      <c r="Q83" s="13">
        <v>42</v>
      </c>
      <c r="R83" s="13">
        <v>324</v>
      </c>
      <c r="S83" s="17">
        <v>25.47</v>
      </c>
      <c r="T83" s="13">
        <v>5696</v>
      </c>
      <c r="U83" s="13">
        <v>8208</v>
      </c>
      <c r="V83" s="18" t="s">
        <v>181</v>
      </c>
      <c r="W83" s="18" t="s">
        <v>56</v>
      </c>
    </row>
    <row r="84" spans="1:23" x14ac:dyDescent="0.25">
      <c r="A84" s="10">
        <v>83</v>
      </c>
      <c r="B84" s="13">
        <v>910859</v>
      </c>
      <c r="C84" s="13">
        <v>910226</v>
      </c>
      <c r="D84" s="9">
        <v>1066.2</v>
      </c>
      <c r="E84" s="9">
        <v>177.4</v>
      </c>
      <c r="F84" s="11">
        <v>1.4661999999999999</v>
      </c>
      <c r="G84" s="13">
        <v>4494</v>
      </c>
      <c r="H84" s="13">
        <v>28217</v>
      </c>
      <c r="I84" s="10">
        <v>101</v>
      </c>
      <c r="J84" s="13">
        <v>777</v>
      </c>
      <c r="K84" s="13">
        <v>3640</v>
      </c>
      <c r="L84" s="13">
        <v>0</v>
      </c>
      <c r="M84" s="13">
        <v>0</v>
      </c>
      <c r="N84" s="13">
        <v>77</v>
      </c>
      <c r="O84" s="13">
        <v>0</v>
      </c>
      <c r="P84" s="13">
        <v>0</v>
      </c>
      <c r="Q84" s="13">
        <v>24</v>
      </c>
      <c r="R84" s="13">
        <v>213</v>
      </c>
      <c r="S84" s="17">
        <v>25.48</v>
      </c>
      <c r="T84" s="13">
        <v>5797</v>
      </c>
      <c r="U84" s="13">
        <v>8338</v>
      </c>
      <c r="V84" s="18" t="s">
        <v>181</v>
      </c>
      <c r="W84" s="18" t="s">
        <v>56</v>
      </c>
    </row>
    <row r="85" spans="1:23" x14ac:dyDescent="0.25">
      <c r="A85" s="10">
        <v>84</v>
      </c>
      <c r="B85" s="13">
        <v>913467</v>
      </c>
      <c r="C85" s="13">
        <v>912878</v>
      </c>
      <c r="D85" s="9">
        <v>1067.7</v>
      </c>
      <c r="E85" s="9">
        <v>178.7</v>
      </c>
      <c r="F85" s="11">
        <v>1.4664999999999999</v>
      </c>
      <c r="G85" s="13">
        <v>8588</v>
      </c>
      <c r="H85" s="13">
        <v>28129</v>
      </c>
      <c r="I85" s="10">
        <v>104</v>
      </c>
      <c r="J85" s="13">
        <v>0</v>
      </c>
      <c r="K85" s="13">
        <v>7826</v>
      </c>
      <c r="L85" s="13">
        <v>0</v>
      </c>
      <c r="M85" s="13">
        <v>607</v>
      </c>
      <c r="N85" s="13">
        <v>155</v>
      </c>
      <c r="O85" s="13">
        <v>0</v>
      </c>
      <c r="P85" s="13">
        <v>0</v>
      </c>
      <c r="Q85" s="13">
        <v>43</v>
      </c>
      <c r="R85" s="13">
        <v>465</v>
      </c>
      <c r="S85" s="17">
        <v>25.46</v>
      </c>
      <c r="T85" s="13">
        <v>5800</v>
      </c>
      <c r="U85" s="13">
        <v>8116</v>
      </c>
      <c r="V85" s="18" t="s">
        <v>181</v>
      </c>
      <c r="W85" s="18" t="s">
        <v>56</v>
      </c>
    </row>
    <row r="86" spans="1:23" x14ac:dyDescent="0.25">
      <c r="A86" s="10">
        <v>85</v>
      </c>
      <c r="B86" s="13">
        <v>910820</v>
      </c>
      <c r="C86" s="13">
        <v>910215</v>
      </c>
      <c r="D86" s="9">
        <v>1062.5999999999999</v>
      </c>
      <c r="E86" s="9">
        <v>173.2</v>
      </c>
      <c r="F86" s="11">
        <v>1.4664999999999999</v>
      </c>
      <c r="G86" s="13">
        <v>1302</v>
      </c>
      <c r="H86" s="13">
        <v>28056</v>
      </c>
      <c r="I86" s="10">
        <v>105</v>
      </c>
      <c r="J86" s="13">
        <v>762</v>
      </c>
      <c r="K86" s="13">
        <v>531</v>
      </c>
      <c r="L86" s="13">
        <v>0</v>
      </c>
      <c r="M86" s="13">
        <v>0</v>
      </c>
      <c r="N86" s="13">
        <v>9</v>
      </c>
      <c r="O86" s="13">
        <v>0</v>
      </c>
      <c r="P86" s="13">
        <v>0</v>
      </c>
      <c r="Q86" s="13">
        <v>38</v>
      </c>
      <c r="R86" s="13">
        <v>305</v>
      </c>
      <c r="S86" s="17">
        <v>25.46</v>
      </c>
      <c r="T86" s="13">
        <v>5375</v>
      </c>
      <c r="U86" s="13">
        <v>8178</v>
      </c>
      <c r="V86" s="18" t="s">
        <v>181</v>
      </c>
      <c r="W86" s="18" t="s">
        <v>56</v>
      </c>
    </row>
    <row r="87" spans="1:23" x14ac:dyDescent="0.25">
      <c r="A87" s="10">
        <v>86</v>
      </c>
      <c r="B87" s="13">
        <v>911308</v>
      </c>
      <c r="C87" s="13">
        <v>910720</v>
      </c>
      <c r="D87" s="9">
        <v>1066.2</v>
      </c>
      <c r="E87" s="9">
        <v>177.8</v>
      </c>
      <c r="F87" s="11">
        <v>1.4655</v>
      </c>
      <c r="G87" s="13">
        <v>3416</v>
      </c>
      <c r="H87" s="13">
        <v>28169</v>
      </c>
      <c r="I87" s="10">
        <v>104</v>
      </c>
      <c r="J87" s="13">
        <v>1200</v>
      </c>
      <c r="K87" s="13">
        <v>1893</v>
      </c>
      <c r="L87" s="13">
        <v>0</v>
      </c>
      <c r="M87" s="13">
        <v>31</v>
      </c>
      <c r="N87" s="13">
        <v>260</v>
      </c>
      <c r="O87" s="13">
        <v>0</v>
      </c>
      <c r="P87" s="13">
        <v>32</v>
      </c>
      <c r="Q87" s="13">
        <v>46</v>
      </c>
      <c r="R87" s="13">
        <v>530</v>
      </c>
      <c r="S87" s="17">
        <v>25.47</v>
      </c>
      <c r="T87" s="13">
        <v>5638</v>
      </c>
      <c r="U87" s="13">
        <v>8072</v>
      </c>
      <c r="V87" s="18" t="s">
        <v>182</v>
      </c>
      <c r="W87" s="18" t="s">
        <v>183</v>
      </c>
    </row>
    <row r="88" spans="1:23" x14ac:dyDescent="0.25">
      <c r="A88" s="10">
        <v>87</v>
      </c>
      <c r="B88" s="13">
        <v>911945</v>
      </c>
      <c r="C88" s="13">
        <v>911276</v>
      </c>
      <c r="D88" s="9">
        <v>1065.4000000000001</v>
      </c>
      <c r="E88" s="9">
        <v>176.4</v>
      </c>
      <c r="F88" s="11">
        <v>1.4661999999999999</v>
      </c>
      <c r="G88" s="13">
        <v>3569</v>
      </c>
      <c r="H88" s="13">
        <v>28091</v>
      </c>
      <c r="I88" s="10">
        <v>104</v>
      </c>
      <c r="J88" s="13">
        <v>423</v>
      </c>
      <c r="K88" s="13">
        <v>2633</v>
      </c>
      <c r="L88" s="13">
        <v>0</v>
      </c>
      <c r="M88" s="13">
        <v>207</v>
      </c>
      <c r="N88" s="13">
        <v>306</v>
      </c>
      <c r="O88" s="13">
        <v>0</v>
      </c>
      <c r="P88" s="13">
        <v>0</v>
      </c>
      <c r="Q88" s="13">
        <v>25</v>
      </c>
      <c r="R88" s="13">
        <v>179</v>
      </c>
      <c r="S88" s="17">
        <v>25.46</v>
      </c>
      <c r="T88" s="13">
        <v>5447</v>
      </c>
      <c r="U88" s="13">
        <v>8200</v>
      </c>
      <c r="V88" s="18" t="s">
        <v>182</v>
      </c>
      <c r="W88" s="18" t="s">
        <v>183</v>
      </c>
    </row>
    <row r="89" spans="1:23" x14ac:dyDescent="0.25">
      <c r="A89" s="10">
        <v>88</v>
      </c>
      <c r="B89" s="13">
        <v>910834</v>
      </c>
      <c r="C89" s="13">
        <v>910262</v>
      </c>
      <c r="D89" s="9">
        <v>1066.3</v>
      </c>
      <c r="E89" s="9">
        <v>177.6</v>
      </c>
      <c r="F89" s="11">
        <v>1.4653</v>
      </c>
      <c r="G89" s="13">
        <v>4491</v>
      </c>
      <c r="H89" s="13">
        <v>28124</v>
      </c>
      <c r="I89" s="10">
        <v>100</v>
      </c>
      <c r="J89" s="13">
        <v>489</v>
      </c>
      <c r="K89" s="13">
        <v>3867</v>
      </c>
      <c r="L89" s="13">
        <v>0</v>
      </c>
      <c r="M89" s="13">
        <v>54</v>
      </c>
      <c r="N89" s="13">
        <v>81</v>
      </c>
      <c r="O89" s="13">
        <v>0</v>
      </c>
      <c r="P89" s="13">
        <v>0</v>
      </c>
      <c r="Q89" s="13">
        <v>35</v>
      </c>
      <c r="R89" s="13">
        <v>347</v>
      </c>
      <c r="S89" s="17">
        <v>25.47</v>
      </c>
      <c r="T89" s="13">
        <v>6023</v>
      </c>
      <c r="U89" s="13">
        <v>8140</v>
      </c>
      <c r="V89" s="18" t="s">
        <v>181</v>
      </c>
      <c r="W89" s="18" t="s">
        <v>56</v>
      </c>
    </row>
    <row r="90" spans="1:23" x14ac:dyDescent="0.25">
      <c r="A90" s="10">
        <v>89</v>
      </c>
      <c r="B90" s="13">
        <v>910860</v>
      </c>
      <c r="C90" s="13">
        <v>910214</v>
      </c>
      <c r="D90" s="9">
        <v>1064.5999999999999</v>
      </c>
      <c r="E90" s="9">
        <v>175.6</v>
      </c>
      <c r="F90" s="11">
        <v>1.4657</v>
      </c>
      <c r="G90" s="13">
        <v>2731</v>
      </c>
      <c r="H90" s="13">
        <v>28298</v>
      </c>
      <c r="I90" s="10">
        <v>105</v>
      </c>
      <c r="J90" s="13">
        <v>657</v>
      </c>
      <c r="K90" s="13">
        <v>1830</v>
      </c>
      <c r="L90" s="13">
        <v>0</v>
      </c>
      <c r="M90" s="13">
        <v>0</v>
      </c>
      <c r="N90" s="13">
        <v>244</v>
      </c>
      <c r="O90" s="13">
        <v>0</v>
      </c>
      <c r="P90" s="13">
        <v>0</v>
      </c>
      <c r="Q90" s="13">
        <v>46</v>
      </c>
      <c r="R90" s="13">
        <v>455</v>
      </c>
      <c r="S90" s="17">
        <v>25.46</v>
      </c>
      <c r="T90" s="13">
        <v>5911</v>
      </c>
      <c r="U90" s="13">
        <v>8157</v>
      </c>
      <c r="V90" s="18" t="s">
        <v>181</v>
      </c>
      <c r="W90" s="18" t="s">
        <v>56</v>
      </c>
    </row>
    <row r="91" spans="1:23" x14ac:dyDescent="0.25">
      <c r="A91" s="10">
        <v>90</v>
      </c>
      <c r="B91" s="13">
        <v>910249</v>
      </c>
      <c r="C91" s="13">
        <v>909647</v>
      </c>
      <c r="D91" s="9">
        <v>1065.7</v>
      </c>
      <c r="E91" s="9">
        <v>176.4</v>
      </c>
      <c r="F91" s="11">
        <v>1.4664999999999999</v>
      </c>
      <c r="G91" s="13">
        <v>2988</v>
      </c>
      <c r="H91" s="13">
        <v>27842</v>
      </c>
      <c r="I91" s="10">
        <v>104</v>
      </c>
      <c r="J91" s="13">
        <v>174</v>
      </c>
      <c r="K91" s="13">
        <v>2158</v>
      </c>
      <c r="L91" s="13">
        <v>0</v>
      </c>
      <c r="M91" s="13">
        <v>342</v>
      </c>
      <c r="N91" s="13">
        <v>232</v>
      </c>
      <c r="O91" s="13">
        <v>0</v>
      </c>
      <c r="P91" s="13">
        <v>82</v>
      </c>
      <c r="Q91" s="13">
        <v>36</v>
      </c>
      <c r="R91" s="13">
        <v>326</v>
      </c>
      <c r="S91" s="17">
        <v>25.46</v>
      </c>
      <c r="T91" s="13">
        <v>5611</v>
      </c>
      <c r="U91" s="13">
        <v>8078</v>
      </c>
      <c r="V91" s="18" t="s">
        <v>181</v>
      </c>
      <c r="W91" s="18" t="s">
        <v>56</v>
      </c>
    </row>
    <row r="92" spans="1:23" x14ac:dyDescent="0.25">
      <c r="A92" s="10">
        <v>91</v>
      </c>
      <c r="B92" s="13">
        <v>912320</v>
      </c>
      <c r="C92" s="13">
        <v>911795</v>
      </c>
      <c r="D92" s="9">
        <v>1067.2</v>
      </c>
      <c r="E92" s="9">
        <v>178.2</v>
      </c>
      <c r="F92" s="11">
        <v>1.4658</v>
      </c>
      <c r="G92" s="13">
        <v>4228</v>
      </c>
      <c r="H92" s="13">
        <v>28064</v>
      </c>
      <c r="I92" s="10">
        <v>104</v>
      </c>
      <c r="J92" s="13">
        <v>351</v>
      </c>
      <c r="K92" s="13">
        <v>3504</v>
      </c>
      <c r="L92" s="13">
        <v>0</v>
      </c>
      <c r="M92" s="13">
        <v>69</v>
      </c>
      <c r="N92" s="13">
        <v>304</v>
      </c>
      <c r="O92" s="13">
        <v>0</v>
      </c>
      <c r="P92" s="13">
        <v>0</v>
      </c>
      <c r="Q92" s="13">
        <v>55</v>
      </c>
      <c r="R92" s="13">
        <v>588</v>
      </c>
      <c r="S92" s="17">
        <v>25.46</v>
      </c>
      <c r="T92" s="13">
        <v>6034</v>
      </c>
      <c r="U92" s="13">
        <v>8318</v>
      </c>
      <c r="V92" s="18" t="s">
        <v>181</v>
      </c>
      <c r="W92" s="18" t="s">
        <v>56</v>
      </c>
    </row>
    <row r="93" spans="1:23" x14ac:dyDescent="0.25">
      <c r="A93" s="10">
        <v>92</v>
      </c>
      <c r="B93" s="13">
        <v>910897</v>
      </c>
      <c r="C93" s="13">
        <v>910346</v>
      </c>
      <c r="D93" s="9">
        <v>1064.8</v>
      </c>
      <c r="E93" s="9">
        <v>175.6</v>
      </c>
      <c r="F93" s="11">
        <v>1.4661999999999999</v>
      </c>
      <c r="G93" s="13">
        <v>4203</v>
      </c>
      <c r="H93" s="13">
        <v>28543</v>
      </c>
      <c r="I93" s="10">
        <v>103</v>
      </c>
      <c r="J93" s="13">
        <v>95</v>
      </c>
      <c r="K93" s="13">
        <v>2446</v>
      </c>
      <c r="L93" s="13">
        <v>0</v>
      </c>
      <c r="M93" s="13">
        <v>1484</v>
      </c>
      <c r="N93" s="13">
        <v>178</v>
      </c>
      <c r="O93" s="13">
        <v>0</v>
      </c>
      <c r="P93" s="13">
        <v>0</v>
      </c>
      <c r="Q93" s="13">
        <v>41</v>
      </c>
      <c r="R93" s="13">
        <v>379</v>
      </c>
      <c r="S93" s="17">
        <v>25.46</v>
      </c>
      <c r="T93" s="13">
        <v>5555</v>
      </c>
      <c r="U93" s="13">
        <v>8204</v>
      </c>
      <c r="V93" s="18" t="s">
        <v>181</v>
      </c>
      <c r="W93" s="18" t="s">
        <v>56</v>
      </c>
    </row>
    <row r="94" spans="1:23" x14ac:dyDescent="0.25">
      <c r="A94" s="10">
        <v>93</v>
      </c>
      <c r="B94" s="13">
        <v>911520</v>
      </c>
      <c r="C94" s="13">
        <v>910918</v>
      </c>
      <c r="D94" s="9">
        <v>1063.3</v>
      </c>
      <c r="E94" s="9">
        <v>175.2</v>
      </c>
      <c r="F94" s="11">
        <v>1.4653</v>
      </c>
      <c r="G94" s="13">
        <v>2261</v>
      </c>
      <c r="H94" s="13">
        <v>28084</v>
      </c>
      <c r="I94" s="10">
        <v>101</v>
      </c>
      <c r="J94" s="13">
        <v>119</v>
      </c>
      <c r="K94" s="13">
        <v>2142</v>
      </c>
      <c r="L94" s="13">
        <v>0</v>
      </c>
      <c r="M94" s="13">
        <v>0</v>
      </c>
      <c r="N94" s="13">
        <v>0</v>
      </c>
      <c r="O94" s="13">
        <v>0</v>
      </c>
      <c r="P94" s="13">
        <v>0</v>
      </c>
      <c r="Q94" s="13">
        <v>30</v>
      </c>
      <c r="R94" s="13">
        <v>267</v>
      </c>
      <c r="S94" s="17">
        <v>25.47</v>
      </c>
      <c r="T94" s="13">
        <v>5551</v>
      </c>
      <c r="U94" s="13">
        <v>7989</v>
      </c>
      <c r="V94" s="18" t="s">
        <v>181</v>
      </c>
      <c r="W94" s="18" t="s">
        <v>56</v>
      </c>
    </row>
    <row r="95" spans="1:23" x14ac:dyDescent="0.25">
      <c r="A95" s="10">
        <v>94</v>
      </c>
      <c r="B95" s="13">
        <v>909318</v>
      </c>
      <c r="C95" s="13">
        <v>908726</v>
      </c>
      <c r="D95" s="9">
        <v>1068.5</v>
      </c>
      <c r="E95" s="9">
        <v>179.5</v>
      </c>
      <c r="F95" s="11">
        <v>1.4657</v>
      </c>
      <c r="G95" s="13">
        <v>7171</v>
      </c>
      <c r="H95" s="13">
        <v>28117</v>
      </c>
      <c r="I95" s="10">
        <v>105</v>
      </c>
      <c r="J95" s="13">
        <v>1596</v>
      </c>
      <c r="K95" s="13">
        <v>5470</v>
      </c>
      <c r="L95" s="13">
        <v>0</v>
      </c>
      <c r="M95" s="13">
        <v>105</v>
      </c>
      <c r="N95" s="13">
        <v>0</v>
      </c>
      <c r="O95" s="13">
        <v>0</v>
      </c>
      <c r="P95" s="13">
        <v>0</v>
      </c>
      <c r="Q95" s="13">
        <v>46</v>
      </c>
      <c r="R95" s="13">
        <v>499</v>
      </c>
      <c r="S95" s="17">
        <v>25.47</v>
      </c>
      <c r="T95" s="13">
        <v>5657</v>
      </c>
      <c r="U95" s="13">
        <v>8101</v>
      </c>
      <c r="V95" s="18" t="s">
        <v>181</v>
      </c>
      <c r="W95" s="18" t="s">
        <v>56</v>
      </c>
    </row>
    <row r="96" spans="1:23" x14ac:dyDescent="0.25">
      <c r="A96" s="10">
        <v>95</v>
      </c>
      <c r="B96" s="13">
        <v>912331</v>
      </c>
      <c r="C96" s="13">
        <v>911764</v>
      </c>
      <c r="D96" s="9">
        <v>1064.5999999999999</v>
      </c>
      <c r="E96" s="9">
        <v>175.4</v>
      </c>
      <c r="F96" s="11">
        <v>1.4657</v>
      </c>
      <c r="G96" s="13">
        <v>3544</v>
      </c>
      <c r="H96" s="13">
        <v>28207</v>
      </c>
      <c r="I96" s="10">
        <v>103</v>
      </c>
      <c r="J96" s="13">
        <v>1201</v>
      </c>
      <c r="K96" s="13">
        <v>2183</v>
      </c>
      <c r="L96" s="13">
        <v>0</v>
      </c>
      <c r="M96" s="13">
        <v>0</v>
      </c>
      <c r="N96" s="13">
        <v>160</v>
      </c>
      <c r="O96" s="13">
        <v>0</v>
      </c>
      <c r="P96" s="13">
        <v>0</v>
      </c>
      <c r="Q96" s="13">
        <v>43</v>
      </c>
      <c r="R96" s="13">
        <v>419</v>
      </c>
      <c r="S96" s="17">
        <v>25.46</v>
      </c>
      <c r="T96" s="13">
        <v>5676</v>
      </c>
      <c r="U96" s="13">
        <v>8198</v>
      </c>
      <c r="V96" s="18" t="s">
        <v>181</v>
      </c>
      <c r="W96" s="18" t="s">
        <v>56</v>
      </c>
    </row>
    <row r="97" spans="1:23" x14ac:dyDescent="0.25">
      <c r="A97" s="10">
        <v>96</v>
      </c>
      <c r="B97" s="13">
        <v>909213</v>
      </c>
      <c r="C97" s="13">
        <v>908643</v>
      </c>
      <c r="D97" s="9">
        <v>1065.8</v>
      </c>
      <c r="E97" s="9">
        <v>177.1</v>
      </c>
      <c r="F97" s="11">
        <v>1.4649000000000001</v>
      </c>
      <c r="G97" s="13">
        <v>2151</v>
      </c>
      <c r="H97" s="13">
        <v>28703</v>
      </c>
      <c r="I97" s="10">
        <v>103</v>
      </c>
      <c r="J97" s="13">
        <v>44</v>
      </c>
      <c r="K97" s="13">
        <v>1780</v>
      </c>
      <c r="L97" s="13">
        <v>0</v>
      </c>
      <c r="M97" s="13">
        <v>145</v>
      </c>
      <c r="N97" s="13">
        <v>182</v>
      </c>
      <c r="O97" s="13">
        <v>0</v>
      </c>
      <c r="P97" s="13">
        <v>0</v>
      </c>
      <c r="Q97" s="13">
        <v>51</v>
      </c>
      <c r="R97" s="13">
        <v>463</v>
      </c>
      <c r="S97" s="17">
        <v>25.47</v>
      </c>
      <c r="T97" s="13">
        <v>5568</v>
      </c>
      <c r="U97" s="13">
        <v>8003</v>
      </c>
      <c r="V97" s="18" t="s">
        <v>181</v>
      </c>
      <c r="W97" s="18" t="s">
        <v>56</v>
      </c>
    </row>
    <row r="98" spans="1:23" x14ac:dyDescent="0.25">
      <c r="A98" s="10">
        <v>97</v>
      </c>
      <c r="B98" s="13">
        <v>910460</v>
      </c>
      <c r="C98" s="13">
        <v>909883</v>
      </c>
      <c r="D98" s="9">
        <v>1065.7</v>
      </c>
      <c r="E98" s="9">
        <v>176.6</v>
      </c>
      <c r="F98" s="11">
        <v>1.466</v>
      </c>
      <c r="G98" s="13">
        <v>4918</v>
      </c>
      <c r="H98" s="13">
        <v>28517</v>
      </c>
      <c r="I98" s="10">
        <v>103</v>
      </c>
      <c r="J98" s="13">
        <v>495</v>
      </c>
      <c r="K98" s="13">
        <v>3055</v>
      </c>
      <c r="L98" s="13">
        <v>0</v>
      </c>
      <c r="M98" s="13">
        <v>294</v>
      </c>
      <c r="N98" s="13">
        <v>1074</v>
      </c>
      <c r="O98" s="13">
        <v>0</v>
      </c>
      <c r="P98" s="13">
        <v>0</v>
      </c>
      <c r="Q98" s="13">
        <v>46</v>
      </c>
      <c r="R98" s="13">
        <v>534</v>
      </c>
      <c r="S98" s="17">
        <v>25.46</v>
      </c>
      <c r="T98" s="13">
        <v>5755</v>
      </c>
      <c r="U98" s="13">
        <v>8101</v>
      </c>
      <c r="V98" s="18" t="s">
        <v>181</v>
      </c>
      <c r="W98" s="18" t="s">
        <v>56</v>
      </c>
    </row>
    <row r="99" spans="1:23" x14ac:dyDescent="0.25">
      <c r="A99" s="10">
        <v>98</v>
      </c>
      <c r="B99" s="13">
        <v>911691</v>
      </c>
      <c r="C99" s="13">
        <v>910989</v>
      </c>
      <c r="D99" s="9">
        <v>1065.5999999999999</v>
      </c>
      <c r="E99" s="9">
        <v>176.6</v>
      </c>
      <c r="F99" s="11">
        <v>1.4659</v>
      </c>
      <c r="G99" s="13">
        <v>3668</v>
      </c>
      <c r="H99" s="13">
        <v>27975</v>
      </c>
      <c r="I99" s="10">
        <v>105</v>
      </c>
      <c r="J99" s="13">
        <v>582</v>
      </c>
      <c r="K99" s="13">
        <v>3082</v>
      </c>
      <c r="L99" s="13">
        <v>4</v>
      </c>
      <c r="M99" s="13">
        <v>0</v>
      </c>
      <c r="N99" s="13">
        <v>0</v>
      </c>
      <c r="O99" s="13">
        <v>0</v>
      </c>
      <c r="P99" s="13">
        <v>0</v>
      </c>
      <c r="Q99" s="13">
        <v>38</v>
      </c>
      <c r="R99" s="13">
        <v>305</v>
      </c>
      <c r="S99" s="17">
        <v>25.47</v>
      </c>
      <c r="T99" s="13">
        <v>5669</v>
      </c>
      <c r="U99" s="13">
        <v>8105</v>
      </c>
      <c r="V99" s="18" t="s">
        <v>181</v>
      </c>
      <c r="W99" s="18" t="s">
        <v>56</v>
      </c>
    </row>
    <row r="100" spans="1:23" x14ac:dyDescent="0.25">
      <c r="A100" s="10">
        <v>99</v>
      </c>
      <c r="B100" s="13">
        <v>911689</v>
      </c>
      <c r="C100" s="13">
        <v>911126</v>
      </c>
      <c r="D100" s="9">
        <v>1064.0999999999999</v>
      </c>
      <c r="E100" s="9">
        <v>175.8</v>
      </c>
      <c r="F100" s="11">
        <v>1.4652000000000001</v>
      </c>
      <c r="G100" s="13">
        <v>1279</v>
      </c>
      <c r="H100" s="13">
        <v>27859</v>
      </c>
      <c r="I100" s="10">
        <v>102</v>
      </c>
      <c r="J100" s="13">
        <v>296</v>
      </c>
      <c r="K100" s="13">
        <v>938</v>
      </c>
      <c r="L100" s="13">
        <v>0</v>
      </c>
      <c r="M100" s="13">
        <v>45</v>
      </c>
      <c r="N100" s="13">
        <v>0</v>
      </c>
      <c r="O100" s="13">
        <v>0</v>
      </c>
      <c r="P100" s="13">
        <v>0</v>
      </c>
      <c r="Q100" s="13">
        <v>21</v>
      </c>
      <c r="R100" s="13">
        <v>178</v>
      </c>
      <c r="S100" s="17">
        <v>25.47</v>
      </c>
      <c r="T100" s="13">
        <v>5721</v>
      </c>
      <c r="U100" s="13">
        <v>8124</v>
      </c>
      <c r="V100" s="18" t="s">
        <v>181</v>
      </c>
      <c r="W100" s="18" t="s">
        <v>56</v>
      </c>
    </row>
    <row r="101" spans="1:23" x14ac:dyDescent="0.25">
      <c r="A101" s="10">
        <v>100</v>
      </c>
      <c r="B101" s="13">
        <v>911146</v>
      </c>
      <c r="C101" s="13">
        <v>910506</v>
      </c>
      <c r="D101" s="9">
        <v>1066.5999999999999</v>
      </c>
      <c r="E101" s="9">
        <v>178.7</v>
      </c>
      <c r="F101" s="11">
        <v>1.4655</v>
      </c>
      <c r="G101" s="13">
        <v>6042</v>
      </c>
      <c r="H101" s="13">
        <v>28301</v>
      </c>
      <c r="I101" s="10">
        <v>106</v>
      </c>
      <c r="J101" s="13">
        <v>453</v>
      </c>
      <c r="K101" s="13">
        <v>4119</v>
      </c>
      <c r="L101" s="13">
        <v>0</v>
      </c>
      <c r="M101" s="13">
        <v>15</v>
      </c>
      <c r="N101" s="13">
        <v>1455</v>
      </c>
      <c r="O101" s="13">
        <v>0</v>
      </c>
      <c r="P101" s="13">
        <v>0</v>
      </c>
      <c r="Q101" s="13">
        <v>32</v>
      </c>
      <c r="R101" s="13">
        <v>313</v>
      </c>
      <c r="S101" s="17">
        <v>25.47</v>
      </c>
      <c r="T101" s="13">
        <v>5941</v>
      </c>
      <c r="U101" s="13">
        <v>8031</v>
      </c>
      <c r="V101" s="18" t="s">
        <v>181</v>
      </c>
      <c r="W101" s="18" t="s">
        <v>56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75"/>
  <sheetViews>
    <sheetView workbookViewId="0">
      <pane ySplit="5" topLeftCell="A6" activePane="bottomLeft" state="frozen"/>
      <selection pane="bottomLeft"/>
    </sheetView>
  </sheetViews>
  <sheetFormatPr baseColWidth="10" defaultColWidth="9.140625" defaultRowHeight="15" x14ac:dyDescent="0.25"/>
  <cols>
    <col min="1" max="1" width="22" customWidth="1"/>
    <col min="2" max="15" width="13" customWidth="1"/>
  </cols>
  <sheetData>
    <row r="1" spans="1:15" ht="17.25" x14ac:dyDescent="0.3">
      <c r="A1" s="4" t="s">
        <v>191</v>
      </c>
    </row>
    <row r="2" spans="1:15" ht="45" customHeight="1" x14ac:dyDescent="0.25">
      <c r="A2" s="19" t="s">
        <v>192</v>
      </c>
      <c r="B2" s="20"/>
      <c r="C2" s="20"/>
      <c r="D2" s="20"/>
      <c r="E2" s="20"/>
      <c r="F2" s="20"/>
      <c r="G2" s="20"/>
      <c r="H2" s="20"/>
      <c r="I2" s="20"/>
      <c r="J2" s="20"/>
      <c r="K2" s="20"/>
      <c r="L2" s="20"/>
      <c r="M2" s="20"/>
      <c r="N2" s="20"/>
      <c r="O2" s="20"/>
    </row>
    <row r="5" spans="1:15" ht="45" customHeight="1" x14ac:dyDescent="0.25">
      <c r="A5" s="7" t="s">
        <v>33</v>
      </c>
      <c r="B5" s="7" t="s">
        <v>193</v>
      </c>
      <c r="C5" s="7" t="s">
        <v>194</v>
      </c>
      <c r="D5" s="7" t="s">
        <v>195</v>
      </c>
      <c r="E5" s="7" t="s">
        <v>196</v>
      </c>
      <c r="F5" s="7" t="s">
        <v>37</v>
      </c>
      <c r="G5" s="7" t="s">
        <v>197</v>
      </c>
      <c r="H5" s="7" t="s">
        <v>196</v>
      </c>
      <c r="I5" s="7" t="s">
        <v>37</v>
      </c>
      <c r="J5" s="7" t="s">
        <v>198</v>
      </c>
      <c r="K5" s="7" t="s">
        <v>196</v>
      </c>
      <c r="L5" s="7" t="s">
        <v>37</v>
      </c>
      <c r="M5" s="7" t="s">
        <v>199</v>
      </c>
      <c r="N5" s="7" t="s">
        <v>196</v>
      </c>
      <c r="O5" s="7" t="s">
        <v>37</v>
      </c>
    </row>
    <row r="6" spans="1:15" x14ac:dyDescent="0.25">
      <c r="A6" s="5" t="s">
        <v>200</v>
      </c>
      <c r="B6" s="10">
        <f>COUNT($D$16:$D$25)</f>
        <v>10</v>
      </c>
      <c r="C6" s="16">
        <f t="shared" ref="C6:C11" si="0">_xlfn.T.INV.2T(0.05,B6-1)</f>
        <v>2.2621571627982053</v>
      </c>
      <c r="D6" s="9">
        <f>AVERAGE($D$16:$D$25)</f>
        <v>1111.77</v>
      </c>
      <c r="E6" s="9">
        <f>_xlfn.STDEV.S($D$16:$D$25)</f>
        <v>2.5867396896909143</v>
      </c>
      <c r="F6" s="9">
        <f t="shared" ref="F6:F11" si="1">C6*E6/SQRT(B6)</f>
        <v>1.8504421009688099</v>
      </c>
      <c r="G6" s="9">
        <f>AVERAGE($E$16:$E$25)</f>
        <v>189.77</v>
      </c>
      <c r="H6" s="9">
        <f>_xlfn.STDEV.S($E$16:$E$25)</f>
        <v>2.8264819122011042</v>
      </c>
      <c r="I6" s="9">
        <f t="shared" ref="I6:I11" si="2">C6*H6/SQRT(B6)</f>
        <v>2.0219433554942303</v>
      </c>
      <c r="J6" s="13">
        <f>AVERAGE($F$16:$F$25)</f>
        <v>12388.4</v>
      </c>
      <c r="K6" s="13">
        <f>_xlfn.STDEV.S($F$16:$F$25)</f>
        <v>217.84255272507659</v>
      </c>
      <c r="L6" s="13">
        <f t="shared" ref="L6:L11" si="3">C6*K6/SQRT(B6)</f>
        <v>155.83517450616219</v>
      </c>
      <c r="M6" s="13">
        <f>AVERAGE($G$16:$G$25)</f>
        <v>0</v>
      </c>
      <c r="N6" s="13">
        <f>_xlfn.STDEV.S($G$16:$G$25)</f>
        <v>0</v>
      </c>
      <c r="O6" s="13">
        <f t="shared" ref="O6:O11" si="4">C6*N6/SQRT(B6)</f>
        <v>0</v>
      </c>
    </row>
    <row r="7" spans="1:15" x14ac:dyDescent="0.25">
      <c r="A7" s="5" t="s">
        <v>201</v>
      </c>
      <c r="B7" s="10">
        <f>COUNT($D$26:$D$35)</f>
        <v>10</v>
      </c>
      <c r="C7" s="16">
        <f t="shared" si="0"/>
        <v>2.2621571627982053</v>
      </c>
      <c r="D7" s="9">
        <f>AVERAGE($D$26:$D$35)</f>
        <v>1063.4299999999998</v>
      </c>
      <c r="E7" s="9">
        <f>_xlfn.STDEV.S($D$26:$D$35)</f>
        <v>2.0033582915805419</v>
      </c>
      <c r="F7" s="9">
        <f t="shared" si="1"/>
        <v>1.4331161890157333</v>
      </c>
      <c r="G7" s="9">
        <f>AVERAGE($E$26:$E$35)</f>
        <v>174.6</v>
      </c>
      <c r="H7" s="9">
        <f>_xlfn.STDEV.S($E$26:$E$35)</f>
        <v>1.8985374487864188</v>
      </c>
      <c r="I7" s="9">
        <f t="shared" si="2"/>
        <v>1.358131875233292</v>
      </c>
      <c r="J7" s="13">
        <f>AVERAGE($F$26:$F$35)</f>
        <v>5612.8</v>
      </c>
      <c r="K7" s="13">
        <f>_xlfn.STDEV.S($F$26:$F$35)</f>
        <v>115.42270140661239</v>
      </c>
      <c r="L7" s="13">
        <f t="shared" si="3"/>
        <v>82.568426557010127</v>
      </c>
      <c r="M7" s="13">
        <f>AVERAGE($G$26:$G$35)</f>
        <v>8120.7</v>
      </c>
      <c r="N7" s="13">
        <f>_xlfn.STDEV.S($G$26:$G$35)</f>
        <v>87.211174105666586</v>
      </c>
      <c r="O7" s="13">
        <f t="shared" si="4"/>
        <v>62.387115674298606</v>
      </c>
    </row>
    <row r="8" spans="1:15" x14ac:dyDescent="0.25">
      <c r="A8" s="5" t="s">
        <v>202</v>
      </c>
      <c r="B8" s="10">
        <f>COUNT($D$36:$D$45)</f>
        <v>10</v>
      </c>
      <c r="C8" s="16">
        <f t="shared" si="0"/>
        <v>2.2621571627982053</v>
      </c>
      <c r="D8" s="9">
        <f>AVERAGE($D$36:$D$45)</f>
        <v>1064.77</v>
      </c>
      <c r="E8" s="9">
        <f>_xlfn.STDEV.S($D$36:$D$45)</f>
        <v>1.4757672204276968</v>
      </c>
      <c r="F8" s="9">
        <f t="shared" si="1"/>
        <v>1.0557002727380853</v>
      </c>
      <c r="G8" s="9">
        <f>AVERAGE($E$36:$E$45)</f>
        <v>175.9</v>
      </c>
      <c r="H8" s="9">
        <f>_xlfn.STDEV.S($E$36:$E$45)</f>
        <v>1.3441230102437338</v>
      </c>
      <c r="I8" s="9">
        <f t="shared" si="2"/>
        <v>0.9615276778519336</v>
      </c>
      <c r="J8" s="13">
        <f>AVERAGE($F$36:$F$45)</f>
        <v>5696</v>
      </c>
      <c r="K8" s="13">
        <f>_xlfn.STDEV.S($F$36:$F$45)</f>
        <v>148.32621705776316</v>
      </c>
      <c r="L8" s="13">
        <f t="shared" si="3"/>
        <v>106.10618370877471</v>
      </c>
      <c r="M8" s="13">
        <f>AVERAGE($G$36:$G$45)</f>
        <v>8150.8</v>
      </c>
      <c r="N8" s="13">
        <f>_xlfn.STDEV.S($G$36:$G$45)</f>
        <v>104.71209205350746</v>
      </c>
      <c r="O8" s="13">
        <f t="shared" si="4"/>
        <v>74.906518189112532</v>
      </c>
    </row>
    <row r="9" spans="1:15" x14ac:dyDescent="0.25">
      <c r="A9" s="5" t="s">
        <v>203</v>
      </c>
      <c r="B9" s="10">
        <f>COUNT($D$46:$D$55)</f>
        <v>10</v>
      </c>
      <c r="C9" s="16">
        <f t="shared" si="0"/>
        <v>2.2621571627982053</v>
      </c>
      <c r="D9" s="9">
        <f>AVERAGE($D$46:$D$55)</f>
        <v>1066.5999999999999</v>
      </c>
      <c r="E9" s="9">
        <f>_xlfn.STDEV.S($D$46:$D$55)</f>
        <v>1.401586402775217</v>
      </c>
      <c r="F9" s="9">
        <f t="shared" si="1"/>
        <v>1.0026345125398333</v>
      </c>
      <c r="G9" s="9">
        <f>AVERAGE($E$46:$E$55)</f>
        <v>177.55</v>
      </c>
      <c r="H9" s="9">
        <f>_xlfn.STDEV.S($E$46:$E$55)</f>
        <v>1.2085344660188884</v>
      </c>
      <c r="I9" s="9">
        <f t="shared" si="2"/>
        <v>0.86453347637018152</v>
      </c>
      <c r="J9" s="13">
        <f>AVERAGE($F$46:$F$55)</f>
        <v>5630.5</v>
      </c>
      <c r="K9" s="13">
        <f>_xlfn.STDEV.S($F$46:$F$55)</f>
        <v>103.32177354695808</v>
      </c>
      <c r="L9" s="13">
        <f t="shared" si="3"/>
        <v>73.911944243953613</v>
      </c>
      <c r="M9" s="13">
        <f>AVERAGE($G$46:$G$55)</f>
        <v>8133.3</v>
      </c>
      <c r="N9" s="13">
        <f>_xlfn.STDEV.S($G$46:$G$55)</f>
        <v>79.594876998739323</v>
      </c>
      <c r="O9" s="13">
        <f t="shared" si="4"/>
        <v>56.938744940933795</v>
      </c>
    </row>
    <row r="10" spans="1:15" x14ac:dyDescent="0.25">
      <c r="A10" s="5" t="s">
        <v>204</v>
      </c>
      <c r="B10" s="10">
        <f>COUNT($D$56:$D$65)</f>
        <v>10</v>
      </c>
      <c r="C10" s="16">
        <f t="shared" si="0"/>
        <v>2.2621571627982053</v>
      </c>
      <c r="D10" s="9">
        <f>AVERAGE($D$56:$D$65)</f>
        <v>1072.31</v>
      </c>
      <c r="E10" s="9">
        <f>_xlfn.STDEV.S($D$56:$D$65)</f>
        <v>1.3253511065206331</v>
      </c>
      <c r="F10" s="9">
        <f t="shared" si="1"/>
        <v>0.94809906688539713</v>
      </c>
      <c r="G10" s="9">
        <f>AVERAGE($E$56:$E$65)</f>
        <v>183.3</v>
      </c>
      <c r="H10" s="9">
        <f>_xlfn.STDEV.S($E$56:$E$65)</f>
        <v>1.4445299120013639</v>
      </c>
      <c r="I10" s="9">
        <f t="shared" si="2"/>
        <v>1.0333544484313724</v>
      </c>
      <c r="J10" s="13">
        <f>AVERAGE($F$56:$F$65)</f>
        <v>5589.3</v>
      </c>
      <c r="K10" s="13">
        <f>_xlfn.STDEV.S($F$56:$F$65)</f>
        <v>113.05460824063935</v>
      </c>
      <c r="L10" s="13">
        <f t="shared" si="3"/>
        <v>80.874394756749382</v>
      </c>
      <c r="M10" s="13">
        <f>AVERAGE($G$56:$G$65)</f>
        <v>8164</v>
      </c>
      <c r="N10" s="13">
        <f>_xlfn.STDEV.S($G$56:$G$65)</f>
        <v>104.57108161968638</v>
      </c>
      <c r="O10" s="13">
        <f t="shared" si="4"/>
        <v>74.805645401464702</v>
      </c>
    </row>
    <row r="11" spans="1:15" x14ac:dyDescent="0.25">
      <c r="A11" s="5" t="s">
        <v>205</v>
      </c>
      <c r="B11" s="10">
        <f>COUNT($D$66:$D$75)</f>
        <v>10</v>
      </c>
      <c r="C11" s="16">
        <f t="shared" si="0"/>
        <v>2.2621571627982053</v>
      </c>
      <c r="D11" s="9">
        <f>AVERAGE($D$66:$D$75)</f>
        <v>1074.8000000000002</v>
      </c>
      <c r="E11" s="9">
        <f>_xlfn.STDEV.S($D$66:$D$75)</f>
        <v>2.842143166305612</v>
      </c>
      <c r="F11" s="9">
        <f t="shared" si="1"/>
        <v>2.033146741774051</v>
      </c>
      <c r="G11" s="9">
        <f>AVERAGE($E$66:$E$75)</f>
        <v>185.75</v>
      </c>
      <c r="H11" s="9">
        <f>_xlfn.STDEV.S($E$66:$E$75)</f>
        <v>2.7645574289165666</v>
      </c>
      <c r="I11" s="9">
        <f t="shared" si="2"/>
        <v>1.9776452487279712</v>
      </c>
      <c r="J11" s="13">
        <f>AVERAGE($F$66:$F$75)</f>
        <v>5679.7</v>
      </c>
      <c r="K11" s="13">
        <f>_xlfn.STDEV.S($F$66:$F$75)</f>
        <v>161.82160959937747</v>
      </c>
      <c r="L11" s="13">
        <f t="shared" si="3"/>
        <v>115.7602059622035</v>
      </c>
      <c r="M11" s="13">
        <f>AVERAGE($G$66:$G$75)</f>
        <v>8032.1</v>
      </c>
      <c r="N11" s="13">
        <f>_xlfn.STDEV.S($G$66:$G$75)</f>
        <v>128.44146959261681</v>
      </c>
      <c r="O11" s="13">
        <f t="shared" si="4"/>
        <v>91.881492286099586</v>
      </c>
    </row>
    <row r="15" spans="1:15" ht="45" x14ac:dyDescent="0.25">
      <c r="A15" s="7" t="s">
        <v>33</v>
      </c>
      <c r="B15" s="7" t="s">
        <v>206</v>
      </c>
      <c r="C15" s="7" t="s">
        <v>5</v>
      </c>
      <c r="D15" s="7" t="s">
        <v>31</v>
      </c>
      <c r="E15" s="7" t="s">
        <v>48</v>
      </c>
      <c r="F15" s="7" t="s">
        <v>80</v>
      </c>
      <c r="G15" s="7" t="s">
        <v>207</v>
      </c>
      <c r="H15" s="7" t="s">
        <v>208</v>
      </c>
    </row>
    <row r="16" spans="1:15" x14ac:dyDescent="0.25">
      <c r="A16" s="10">
        <v>0</v>
      </c>
      <c r="B16" s="10">
        <v>0</v>
      </c>
      <c r="C16" s="10">
        <v>1</v>
      </c>
      <c r="D16" s="9">
        <v>1114.8</v>
      </c>
      <c r="E16" s="9">
        <v>193.2</v>
      </c>
      <c r="F16" s="13">
        <v>12782</v>
      </c>
      <c r="G16" s="13">
        <v>0</v>
      </c>
      <c r="H16" s="18" t="s">
        <v>182</v>
      </c>
    </row>
    <row r="17" spans="1:8" x14ac:dyDescent="0.25">
      <c r="A17" s="10">
        <v>0</v>
      </c>
      <c r="B17" s="10">
        <v>0</v>
      </c>
      <c r="C17" s="10">
        <v>2</v>
      </c>
      <c r="D17" s="9">
        <v>1113.0999999999999</v>
      </c>
      <c r="E17" s="9">
        <v>190.8</v>
      </c>
      <c r="F17" s="13">
        <v>12208</v>
      </c>
      <c r="G17" s="13">
        <v>0</v>
      </c>
      <c r="H17" s="18" t="s">
        <v>182</v>
      </c>
    </row>
    <row r="18" spans="1:8" x14ac:dyDescent="0.25">
      <c r="A18" s="10">
        <v>0</v>
      </c>
      <c r="B18" s="10">
        <v>0</v>
      </c>
      <c r="C18" s="10">
        <v>3</v>
      </c>
      <c r="D18" s="9">
        <v>1111.8</v>
      </c>
      <c r="E18" s="9">
        <v>189.8</v>
      </c>
      <c r="F18" s="13">
        <v>12612</v>
      </c>
      <c r="G18" s="13">
        <v>0</v>
      </c>
      <c r="H18" s="18" t="s">
        <v>181</v>
      </c>
    </row>
    <row r="19" spans="1:8" x14ac:dyDescent="0.25">
      <c r="A19" s="10">
        <v>0</v>
      </c>
      <c r="B19" s="10">
        <v>0</v>
      </c>
      <c r="C19" s="10">
        <v>4</v>
      </c>
      <c r="D19" s="9">
        <v>1110</v>
      </c>
      <c r="E19" s="9">
        <v>187.7</v>
      </c>
      <c r="F19" s="13">
        <v>12239</v>
      </c>
      <c r="G19" s="13">
        <v>0</v>
      </c>
      <c r="H19" s="18" t="s">
        <v>181</v>
      </c>
    </row>
    <row r="20" spans="1:8" x14ac:dyDescent="0.25">
      <c r="A20" s="10">
        <v>0</v>
      </c>
      <c r="B20" s="10">
        <v>0</v>
      </c>
      <c r="C20" s="10">
        <v>5</v>
      </c>
      <c r="D20" s="9">
        <v>1108.8</v>
      </c>
      <c r="E20" s="9">
        <v>187.5</v>
      </c>
      <c r="F20" s="13">
        <v>12263</v>
      </c>
      <c r="G20" s="13">
        <v>0</v>
      </c>
      <c r="H20" s="18" t="s">
        <v>181</v>
      </c>
    </row>
    <row r="21" spans="1:8" x14ac:dyDescent="0.25">
      <c r="A21" s="10">
        <v>0</v>
      </c>
      <c r="B21" s="10">
        <v>0</v>
      </c>
      <c r="C21" s="10">
        <v>6</v>
      </c>
      <c r="D21" s="9">
        <v>1111.8</v>
      </c>
      <c r="E21" s="9">
        <v>190.1</v>
      </c>
      <c r="F21" s="13">
        <v>12587</v>
      </c>
      <c r="G21" s="13">
        <v>0</v>
      </c>
      <c r="H21" s="18" t="s">
        <v>181</v>
      </c>
    </row>
    <row r="22" spans="1:8" x14ac:dyDescent="0.25">
      <c r="A22" s="10">
        <v>0</v>
      </c>
      <c r="B22" s="10">
        <v>0</v>
      </c>
      <c r="C22" s="10">
        <v>7</v>
      </c>
      <c r="D22" s="9">
        <v>1109.5</v>
      </c>
      <c r="E22" s="9">
        <v>186.5</v>
      </c>
      <c r="F22" s="13">
        <v>12092</v>
      </c>
      <c r="G22" s="13">
        <v>0</v>
      </c>
      <c r="H22" s="18" t="s">
        <v>181</v>
      </c>
    </row>
    <row r="23" spans="1:8" x14ac:dyDescent="0.25">
      <c r="A23" s="10">
        <v>0</v>
      </c>
      <c r="B23" s="10">
        <v>0</v>
      </c>
      <c r="C23" s="10">
        <v>8</v>
      </c>
      <c r="D23" s="9">
        <v>1112.2</v>
      </c>
      <c r="E23" s="9">
        <v>189.9</v>
      </c>
      <c r="F23" s="13">
        <v>12262</v>
      </c>
      <c r="G23" s="13">
        <v>0</v>
      </c>
      <c r="H23" s="18" t="s">
        <v>182</v>
      </c>
    </row>
    <row r="24" spans="1:8" x14ac:dyDescent="0.25">
      <c r="A24" s="10">
        <v>0</v>
      </c>
      <c r="B24" s="10">
        <v>0</v>
      </c>
      <c r="C24" s="10">
        <v>9</v>
      </c>
      <c r="D24" s="9">
        <v>1116.7</v>
      </c>
      <c r="E24" s="9">
        <v>195.3</v>
      </c>
      <c r="F24" s="13">
        <v>12476</v>
      </c>
      <c r="G24" s="13">
        <v>0</v>
      </c>
      <c r="H24" s="18" t="s">
        <v>181</v>
      </c>
    </row>
    <row r="25" spans="1:8" x14ac:dyDescent="0.25">
      <c r="A25" s="10">
        <v>0</v>
      </c>
      <c r="B25" s="10">
        <v>0</v>
      </c>
      <c r="C25" s="10">
        <v>10</v>
      </c>
      <c r="D25" s="9">
        <v>1109</v>
      </c>
      <c r="E25" s="9">
        <v>186.9</v>
      </c>
      <c r="F25" s="13">
        <v>12363</v>
      </c>
      <c r="G25" s="13">
        <v>0</v>
      </c>
      <c r="H25" s="18" t="s">
        <v>181</v>
      </c>
    </row>
    <row r="26" spans="1:8" x14ac:dyDescent="0.25">
      <c r="A26" s="10">
        <v>1</v>
      </c>
      <c r="B26" s="10">
        <v>90</v>
      </c>
      <c r="C26" s="10">
        <v>1</v>
      </c>
      <c r="D26" s="9">
        <v>1062.5999999999999</v>
      </c>
      <c r="E26" s="9">
        <v>173.8</v>
      </c>
      <c r="F26" s="13">
        <v>5681</v>
      </c>
      <c r="G26" s="13">
        <v>8085</v>
      </c>
      <c r="H26" s="18" t="s">
        <v>181</v>
      </c>
    </row>
    <row r="27" spans="1:8" x14ac:dyDescent="0.25">
      <c r="A27" s="10">
        <v>1</v>
      </c>
      <c r="B27" s="10">
        <v>90</v>
      </c>
      <c r="C27" s="10">
        <v>2</v>
      </c>
      <c r="D27" s="9">
        <v>1065.5999999999999</v>
      </c>
      <c r="E27" s="9">
        <v>176.6</v>
      </c>
      <c r="F27" s="13">
        <v>5636</v>
      </c>
      <c r="G27" s="13">
        <v>8265</v>
      </c>
      <c r="H27" s="18" t="s">
        <v>181</v>
      </c>
    </row>
    <row r="28" spans="1:8" x14ac:dyDescent="0.25">
      <c r="A28" s="10">
        <v>1</v>
      </c>
      <c r="B28" s="10">
        <v>90</v>
      </c>
      <c r="C28" s="10">
        <v>3</v>
      </c>
      <c r="D28" s="9">
        <v>1062.5999999999999</v>
      </c>
      <c r="E28" s="9">
        <v>173.6</v>
      </c>
      <c r="F28" s="13">
        <v>5622</v>
      </c>
      <c r="G28" s="13">
        <v>8054</v>
      </c>
      <c r="H28" s="18" t="s">
        <v>181</v>
      </c>
    </row>
    <row r="29" spans="1:8" x14ac:dyDescent="0.25">
      <c r="A29" s="10">
        <v>1</v>
      </c>
      <c r="B29" s="10">
        <v>90</v>
      </c>
      <c r="C29" s="10">
        <v>4</v>
      </c>
      <c r="D29" s="9">
        <v>1067.2</v>
      </c>
      <c r="E29" s="9">
        <v>178.4</v>
      </c>
      <c r="F29" s="13">
        <v>5549</v>
      </c>
      <c r="G29" s="13">
        <v>8222</v>
      </c>
      <c r="H29" s="18" t="s">
        <v>181</v>
      </c>
    </row>
    <row r="30" spans="1:8" x14ac:dyDescent="0.25">
      <c r="A30" s="10">
        <v>1</v>
      </c>
      <c r="B30" s="10">
        <v>90</v>
      </c>
      <c r="C30" s="10">
        <v>5</v>
      </c>
      <c r="D30" s="9">
        <v>1062.3</v>
      </c>
      <c r="E30" s="9">
        <v>173.3</v>
      </c>
      <c r="F30" s="13">
        <v>5562</v>
      </c>
      <c r="G30" s="13">
        <v>8019</v>
      </c>
      <c r="H30" s="18" t="s">
        <v>182</v>
      </c>
    </row>
    <row r="31" spans="1:8" x14ac:dyDescent="0.25">
      <c r="A31" s="10">
        <v>1</v>
      </c>
      <c r="B31" s="10">
        <v>90</v>
      </c>
      <c r="C31" s="10">
        <v>6</v>
      </c>
      <c r="D31" s="9">
        <v>1064.3</v>
      </c>
      <c r="E31" s="9">
        <v>175.3</v>
      </c>
      <c r="F31" s="13">
        <v>5474</v>
      </c>
      <c r="G31" s="13">
        <v>8099</v>
      </c>
      <c r="H31" s="18" t="s">
        <v>181</v>
      </c>
    </row>
    <row r="32" spans="1:8" x14ac:dyDescent="0.25">
      <c r="A32" s="10">
        <v>1</v>
      </c>
      <c r="B32" s="10">
        <v>90</v>
      </c>
      <c r="C32" s="10">
        <v>7</v>
      </c>
      <c r="D32" s="9">
        <v>1063.7</v>
      </c>
      <c r="E32" s="9">
        <v>174.6</v>
      </c>
      <c r="F32" s="13">
        <v>5557</v>
      </c>
      <c r="G32" s="13">
        <v>8157</v>
      </c>
      <c r="H32" s="18" t="s">
        <v>181</v>
      </c>
    </row>
    <row r="33" spans="1:8" x14ac:dyDescent="0.25">
      <c r="A33" s="10">
        <v>1</v>
      </c>
      <c r="B33" s="10">
        <v>90</v>
      </c>
      <c r="C33" s="10">
        <v>8</v>
      </c>
      <c r="D33" s="9">
        <v>1064.2</v>
      </c>
      <c r="E33" s="9">
        <v>175.4</v>
      </c>
      <c r="F33" s="13">
        <v>5577</v>
      </c>
      <c r="G33" s="13">
        <v>8134</v>
      </c>
      <c r="H33" s="18" t="s">
        <v>181</v>
      </c>
    </row>
    <row r="34" spans="1:8" x14ac:dyDescent="0.25">
      <c r="A34" s="10">
        <v>1</v>
      </c>
      <c r="B34" s="10">
        <v>90</v>
      </c>
      <c r="C34" s="10">
        <v>9</v>
      </c>
      <c r="D34" s="9">
        <v>1061.3</v>
      </c>
      <c r="E34" s="9">
        <v>173.1</v>
      </c>
      <c r="F34" s="13">
        <v>5570</v>
      </c>
      <c r="G34" s="13">
        <v>8178</v>
      </c>
      <c r="H34" s="18" t="s">
        <v>182</v>
      </c>
    </row>
    <row r="35" spans="1:8" x14ac:dyDescent="0.25">
      <c r="A35" s="10">
        <v>1</v>
      </c>
      <c r="B35" s="10">
        <v>90</v>
      </c>
      <c r="C35" s="10">
        <v>10</v>
      </c>
      <c r="D35" s="9">
        <v>1060.5</v>
      </c>
      <c r="E35" s="9">
        <v>171.9</v>
      </c>
      <c r="F35" s="13">
        <v>5900</v>
      </c>
      <c r="G35" s="13">
        <v>7994</v>
      </c>
      <c r="H35" s="18" t="s">
        <v>181</v>
      </c>
    </row>
    <row r="36" spans="1:8" x14ac:dyDescent="0.25">
      <c r="A36" s="10">
        <v>2</v>
      </c>
      <c r="B36" s="10">
        <v>100</v>
      </c>
      <c r="C36" s="10">
        <v>1</v>
      </c>
      <c r="D36" s="9">
        <v>1067.5</v>
      </c>
      <c r="E36" s="9">
        <v>178.4</v>
      </c>
      <c r="F36" s="13">
        <v>5753</v>
      </c>
      <c r="G36" s="13">
        <v>8314</v>
      </c>
      <c r="H36" s="18" t="s">
        <v>181</v>
      </c>
    </row>
    <row r="37" spans="1:8" x14ac:dyDescent="0.25">
      <c r="A37" s="10">
        <v>2</v>
      </c>
      <c r="B37" s="10">
        <v>100</v>
      </c>
      <c r="C37" s="10">
        <v>2</v>
      </c>
      <c r="D37" s="9">
        <v>1065.0999999999999</v>
      </c>
      <c r="E37" s="9">
        <v>176.1</v>
      </c>
      <c r="F37" s="13">
        <v>5935</v>
      </c>
      <c r="G37" s="13">
        <v>8107</v>
      </c>
      <c r="H37" s="18" t="s">
        <v>181</v>
      </c>
    </row>
    <row r="38" spans="1:8" x14ac:dyDescent="0.25">
      <c r="A38" s="10">
        <v>2</v>
      </c>
      <c r="B38" s="10">
        <v>100</v>
      </c>
      <c r="C38" s="10">
        <v>3</v>
      </c>
      <c r="D38" s="9">
        <v>1064.0999999999999</v>
      </c>
      <c r="E38" s="9">
        <v>175.7</v>
      </c>
      <c r="F38" s="13">
        <v>5613</v>
      </c>
      <c r="G38" s="13">
        <v>8216</v>
      </c>
      <c r="H38" s="18" t="s">
        <v>182</v>
      </c>
    </row>
    <row r="39" spans="1:8" x14ac:dyDescent="0.25">
      <c r="A39" s="10">
        <v>2</v>
      </c>
      <c r="B39" s="10">
        <v>100</v>
      </c>
      <c r="C39" s="10">
        <v>4</v>
      </c>
      <c r="D39" s="9">
        <v>1064.4000000000001</v>
      </c>
      <c r="E39" s="9">
        <v>175.3</v>
      </c>
      <c r="F39" s="13">
        <v>5785</v>
      </c>
      <c r="G39" s="13">
        <v>8153</v>
      </c>
      <c r="H39" s="18" t="s">
        <v>181</v>
      </c>
    </row>
    <row r="40" spans="1:8" x14ac:dyDescent="0.25">
      <c r="A40" s="10">
        <v>2</v>
      </c>
      <c r="B40" s="10">
        <v>100</v>
      </c>
      <c r="C40" s="10">
        <v>5</v>
      </c>
      <c r="D40" s="9">
        <v>1061.7</v>
      </c>
      <c r="E40" s="9">
        <v>173.2</v>
      </c>
      <c r="F40" s="13">
        <v>5568</v>
      </c>
      <c r="G40" s="13">
        <v>8223</v>
      </c>
      <c r="H40" s="18" t="s">
        <v>182</v>
      </c>
    </row>
    <row r="41" spans="1:8" x14ac:dyDescent="0.25">
      <c r="A41" s="10">
        <v>2</v>
      </c>
      <c r="B41" s="10">
        <v>100</v>
      </c>
      <c r="C41" s="10">
        <v>6</v>
      </c>
      <c r="D41" s="9">
        <v>1065.2</v>
      </c>
      <c r="E41" s="9">
        <v>175.6</v>
      </c>
      <c r="F41" s="13">
        <v>5758</v>
      </c>
      <c r="G41" s="13">
        <v>7980</v>
      </c>
      <c r="H41" s="18" t="s">
        <v>181</v>
      </c>
    </row>
    <row r="42" spans="1:8" x14ac:dyDescent="0.25">
      <c r="A42" s="10">
        <v>2</v>
      </c>
      <c r="B42" s="10">
        <v>100</v>
      </c>
      <c r="C42" s="10">
        <v>7</v>
      </c>
      <c r="D42" s="9">
        <v>1065.4000000000001</v>
      </c>
      <c r="E42" s="9">
        <v>176.4</v>
      </c>
      <c r="F42" s="13">
        <v>5519</v>
      </c>
      <c r="G42" s="13">
        <v>8142</v>
      </c>
      <c r="H42" s="18" t="s">
        <v>181</v>
      </c>
    </row>
    <row r="43" spans="1:8" x14ac:dyDescent="0.25">
      <c r="A43" s="10">
        <v>2</v>
      </c>
      <c r="B43" s="10">
        <v>100</v>
      </c>
      <c r="C43" s="10">
        <v>8</v>
      </c>
      <c r="D43" s="9">
        <v>1065.4000000000001</v>
      </c>
      <c r="E43" s="9">
        <v>176.2</v>
      </c>
      <c r="F43" s="13">
        <v>5759</v>
      </c>
      <c r="G43" s="13">
        <v>8102</v>
      </c>
      <c r="H43" s="18" t="s">
        <v>181</v>
      </c>
    </row>
    <row r="44" spans="1:8" x14ac:dyDescent="0.25">
      <c r="A44" s="10">
        <v>2</v>
      </c>
      <c r="B44" s="10">
        <v>100</v>
      </c>
      <c r="C44" s="10">
        <v>9</v>
      </c>
      <c r="D44" s="9">
        <v>1063.8</v>
      </c>
      <c r="E44" s="9">
        <v>175.1</v>
      </c>
      <c r="F44" s="13">
        <v>5808</v>
      </c>
      <c r="G44" s="13">
        <v>8255</v>
      </c>
      <c r="H44" s="18" t="s">
        <v>181</v>
      </c>
    </row>
    <row r="45" spans="1:8" x14ac:dyDescent="0.25">
      <c r="A45" s="10">
        <v>2</v>
      </c>
      <c r="B45" s="10">
        <v>100</v>
      </c>
      <c r="C45" s="10">
        <v>10</v>
      </c>
      <c r="D45" s="9">
        <v>1065.0999999999999</v>
      </c>
      <c r="E45" s="9">
        <v>177</v>
      </c>
      <c r="F45" s="13">
        <v>5462</v>
      </c>
      <c r="G45" s="13">
        <v>8016</v>
      </c>
      <c r="H45" s="18" t="s">
        <v>181</v>
      </c>
    </row>
    <row r="46" spans="1:8" x14ac:dyDescent="0.25">
      <c r="A46" s="10">
        <v>3</v>
      </c>
      <c r="B46" s="10">
        <v>120</v>
      </c>
      <c r="C46" s="10">
        <v>1</v>
      </c>
      <c r="D46" s="9">
        <v>1068.0999999999999</v>
      </c>
      <c r="E46" s="9">
        <v>179.3</v>
      </c>
      <c r="F46" s="13">
        <v>5681</v>
      </c>
      <c r="G46" s="13">
        <v>8058</v>
      </c>
      <c r="H46" s="18" t="s">
        <v>182</v>
      </c>
    </row>
    <row r="47" spans="1:8" x14ac:dyDescent="0.25">
      <c r="A47" s="10">
        <v>3</v>
      </c>
      <c r="B47" s="10">
        <v>120</v>
      </c>
      <c r="C47" s="10">
        <v>2</v>
      </c>
      <c r="D47" s="9">
        <v>1067.3</v>
      </c>
      <c r="E47" s="9">
        <v>177.4</v>
      </c>
      <c r="F47" s="13">
        <v>5673</v>
      </c>
      <c r="G47" s="13">
        <v>8139</v>
      </c>
      <c r="H47" s="18" t="s">
        <v>181</v>
      </c>
    </row>
    <row r="48" spans="1:8" x14ac:dyDescent="0.25">
      <c r="A48" s="10">
        <v>3</v>
      </c>
      <c r="B48" s="10">
        <v>120</v>
      </c>
      <c r="C48" s="10">
        <v>3</v>
      </c>
      <c r="D48" s="9">
        <v>1068.5</v>
      </c>
      <c r="E48" s="9">
        <v>178.8</v>
      </c>
      <c r="F48" s="13">
        <v>5529</v>
      </c>
      <c r="G48" s="13">
        <v>8266</v>
      </c>
      <c r="H48" s="18" t="s">
        <v>181</v>
      </c>
    </row>
    <row r="49" spans="1:8" x14ac:dyDescent="0.25">
      <c r="A49" s="10">
        <v>3</v>
      </c>
      <c r="B49" s="10">
        <v>120</v>
      </c>
      <c r="C49" s="10">
        <v>4</v>
      </c>
      <c r="D49" s="9">
        <v>1064.9000000000001</v>
      </c>
      <c r="E49" s="9">
        <v>176</v>
      </c>
      <c r="F49" s="13">
        <v>5485</v>
      </c>
      <c r="G49" s="13">
        <v>8120</v>
      </c>
      <c r="H49" s="18" t="s">
        <v>181</v>
      </c>
    </row>
    <row r="50" spans="1:8" x14ac:dyDescent="0.25">
      <c r="A50" s="10">
        <v>3</v>
      </c>
      <c r="B50" s="10">
        <v>120</v>
      </c>
      <c r="C50" s="10">
        <v>5</v>
      </c>
      <c r="D50" s="9">
        <v>1064.8</v>
      </c>
      <c r="E50" s="9">
        <v>176.5</v>
      </c>
      <c r="F50" s="13">
        <v>5725</v>
      </c>
      <c r="G50" s="13">
        <v>8112</v>
      </c>
      <c r="H50" s="18" t="s">
        <v>181</v>
      </c>
    </row>
    <row r="51" spans="1:8" x14ac:dyDescent="0.25">
      <c r="A51" s="10">
        <v>3</v>
      </c>
      <c r="B51" s="10">
        <v>120</v>
      </c>
      <c r="C51" s="10">
        <v>6</v>
      </c>
      <c r="D51" s="9">
        <v>1065.2</v>
      </c>
      <c r="E51" s="9">
        <v>176.3</v>
      </c>
      <c r="F51" s="13">
        <v>5549</v>
      </c>
      <c r="G51" s="13">
        <v>8211</v>
      </c>
      <c r="H51" s="18" t="s">
        <v>181</v>
      </c>
    </row>
    <row r="52" spans="1:8" x14ac:dyDescent="0.25">
      <c r="A52" s="10">
        <v>3</v>
      </c>
      <c r="B52" s="10">
        <v>120</v>
      </c>
      <c r="C52" s="10">
        <v>7</v>
      </c>
      <c r="D52" s="9">
        <v>1065.3</v>
      </c>
      <c r="E52" s="9">
        <v>176.5</v>
      </c>
      <c r="F52" s="13">
        <v>5667</v>
      </c>
      <c r="G52" s="13">
        <v>8232</v>
      </c>
      <c r="H52" s="18" t="s">
        <v>181</v>
      </c>
    </row>
    <row r="53" spans="1:8" x14ac:dyDescent="0.25">
      <c r="A53" s="10">
        <v>3</v>
      </c>
      <c r="B53" s="10">
        <v>120</v>
      </c>
      <c r="C53" s="10">
        <v>8</v>
      </c>
      <c r="D53" s="9">
        <v>1067.3</v>
      </c>
      <c r="E53" s="9">
        <v>177.7</v>
      </c>
      <c r="F53" s="13">
        <v>5822</v>
      </c>
      <c r="G53" s="13">
        <v>8031</v>
      </c>
      <c r="H53" s="18" t="s">
        <v>181</v>
      </c>
    </row>
    <row r="54" spans="1:8" x14ac:dyDescent="0.25">
      <c r="A54" s="10">
        <v>3</v>
      </c>
      <c r="B54" s="10">
        <v>120</v>
      </c>
      <c r="C54" s="10">
        <v>9</v>
      </c>
      <c r="D54" s="9">
        <v>1067.5</v>
      </c>
      <c r="E54" s="9">
        <v>179</v>
      </c>
      <c r="F54" s="13">
        <v>5549</v>
      </c>
      <c r="G54" s="13">
        <v>8054</v>
      </c>
      <c r="H54" s="18" t="s">
        <v>181</v>
      </c>
    </row>
    <row r="55" spans="1:8" x14ac:dyDescent="0.25">
      <c r="A55" s="10">
        <v>3</v>
      </c>
      <c r="B55" s="10">
        <v>120</v>
      </c>
      <c r="C55" s="10">
        <v>10</v>
      </c>
      <c r="D55" s="9">
        <v>1067.0999999999999</v>
      </c>
      <c r="E55" s="9">
        <v>178</v>
      </c>
      <c r="F55" s="13">
        <v>5625</v>
      </c>
      <c r="G55" s="13">
        <v>8110</v>
      </c>
      <c r="H55" s="18" t="s">
        <v>181</v>
      </c>
    </row>
    <row r="56" spans="1:8" x14ac:dyDescent="0.25">
      <c r="A56" s="10">
        <v>4</v>
      </c>
      <c r="B56" s="10">
        <v>150</v>
      </c>
      <c r="C56" s="10">
        <v>1</v>
      </c>
      <c r="D56" s="9">
        <v>1070.7</v>
      </c>
      <c r="E56" s="9">
        <v>181.6</v>
      </c>
      <c r="F56" s="13">
        <v>5524</v>
      </c>
      <c r="G56" s="13">
        <v>7942</v>
      </c>
      <c r="H56" s="18" t="s">
        <v>181</v>
      </c>
    </row>
    <row r="57" spans="1:8" x14ac:dyDescent="0.25">
      <c r="A57" s="10">
        <v>4</v>
      </c>
      <c r="B57" s="10">
        <v>150</v>
      </c>
      <c r="C57" s="10">
        <v>2</v>
      </c>
      <c r="D57" s="9">
        <v>1074.2</v>
      </c>
      <c r="E57" s="9">
        <v>185.6</v>
      </c>
      <c r="F57" s="13">
        <v>5700</v>
      </c>
      <c r="G57" s="13">
        <v>8230</v>
      </c>
      <c r="H57" s="18" t="s">
        <v>181</v>
      </c>
    </row>
    <row r="58" spans="1:8" x14ac:dyDescent="0.25">
      <c r="A58" s="10">
        <v>4</v>
      </c>
      <c r="B58" s="10">
        <v>150</v>
      </c>
      <c r="C58" s="10">
        <v>3</v>
      </c>
      <c r="D58" s="9">
        <v>1072.8</v>
      </c>
      <c r="E58" s="9">
        <v>183.5</v>
      </c>
      <c r="F58" s="13">
        <v>5568</v>
      </c>
      <c r="G58" s="13">
        <v>8189</v>
      </c>
      <c r="H58" s="18" t="s">
        <v>182</v>
      </c>
    </row>
    <row r="59" spans="1:8" x14ac:dyDescent="0.25">
      <c r="A59" s="10">
        <v>4</v>
      </c>
      <c r="B59" s="10">
        <v>150</v>
      </c>
      <c r="C59" s="10">
        <v>4</v>
      </c>
      <c r="D59" s="9">
        <v>1073.0999999999999</v>
      </c>
      <c r="E59" s="9">
        <v>183.5</v>
      </c>
      <c r="F59" s="13">
        <v>5490</v>
      </c>
      <c r="G59" s="13">
        <v>8101</v>
      </c>
      <c r="H59" s="18" t="s">
        <v>182</v>
      </c>
    </row>
    <row r="60" spans="1:8" x14ac:dyDescent="0.25">
      <c r="A60" s="10">
        <v>4</v>
      </c>
      <c r="B60" s="10">
        <v>150</v>
      </c>
      <c r="C60" s="10">
        <v>5</v>
      </c>
      <c r="D60" s="9">
        <v>1072.7</v>
      </c>
      <c r="E60" s="9">
        <v>184.1</v>
      </c>
      <c r="F60" s="13">
        <v>5768</v>
      </c>
      <c r="G60" s="13">
        <v>8253</v>
      </c>
      <c r="H60" s="18" t="s">
        <v>181</v>
      </c>
    </row>
    <row r="61" spans="1:8" x14ac:dyDescent="0.25">
      <c r="A61" s="10">
        <v>4</v>
      </c>
      <c r="B61" s="10">
        <v>150</v>
      </c>
      <c r="C61" s="10">
        <v>6</v>
      </c>
      <c r="D61" s="9">
        <v>1070.2</v>
      </c>
      <c r="E61" s="9">
        <v>181.5</v>
      </c>
      <c r="F61" s="13">
        <v>5392</v>
      </c>
      <c r="G61" s="13">
        <v>8147</v>
      </c>
      <c r="H61" s="18" t="s">
        <v>182</v>
      </c>
    </row>
    <row r="62" spans="1:8" x14ac:dyDescent="0.25">
      <c r="A62" s="10">
        <v>4</v>
      </c>
      <c r="B62" s="10">
        <v>150</v>
      </c>
      <c r="C62" s="10">
        <v>7</v>
      </c>
      <c r="D62" s="9">
        <v>1071.2</v>
      </c>
      <c r="E62" s="9">
        <v>181.9</v>
      </c>
      <c r="F62" s="13">
        <v>5560</v>
      </c>
      <c r="G62" s="13">
        <v>8088</v>
      </c>
      <c r="H62" s="18" t="s">
        <v>181</v>
      </c>
    </row>
    <row r="63" spans="1:8" x14ac:dyDescent="0.25">
      <c r="A63" s="10">
        <v>4</v>
      </c>
      <c r="B63" s="10">
        <v>150</v>
      </c>
      <c r="C63" s="10">
        <v>8</v>
      </c>
      <c r="D63" s="9">
        <v>1071.5</v>
      </c>
      <c r="E63" s="9">
        <v>182.5</v>
      </c>
      <c r="F63" s="13">
        <v>5716</v>
      </c>
      <c r="G63" s="13">
        <v>8148</v>
      </c>
      <c r="H63" s="18" t="s">
        <v>182</v>
      </c>
    </row>
    <row r="64" spans="1:8" x14ac:dyDescent="0.25">
      <c r="A64" s="10">
        <v>4</v>
      </c>
      <c r="B64" s="10">
        <v>150</v>
      </c>
      <c r="C64" s="10">
        <v>9</v>
      </c>
      <c r="D64" s="9">
        <v>1073.5999999999999</v>
      </c>
      <c r="E64" s="9">
        <v>185.3</v>
      </c>
      <c r="F64" s="13">
        <v>5573</v>
      </c>
      <c r="G64" s="13">
        <v>8310</v>
      </c>
      <c r="H64" s="18" t="s">
        <v>182</v>
      </c>
    </row>
    <row r="65" spans="1:8" x14ac:dyDescent="0.25">
      <c r="A65" s="10">
        <v>4</v>
      </c>
      <c r="B65" s="10">
        <v>150</v>
      </c>
      <c r="C65" s="10">
        <v>10</v>
      </c>
      <c r="D65" s="9">
        <v>1073.0999999999999</v>
      </c>
      <c r="E65" s="9">
        <v>183.5</v>
      </c>
      <c r="F65" s="13">
        <v>5602</v>
      </c>
      <c r="G65" s="13">
        <v>8232</v>
      </c>
      <c r="H65" s="18" t="s">
        <v>181</v>
      </c>
    </row>
    <row r="66" spans="1:8" x14ac:dyDescent="0.25">
      <c r="A66" s="10">
        <v>5</v>
      </c>
      <c r="B66" s="10">
        <v>189</v>
      </c>
      <c r="C66" s="10">
        <v>1</v>
      </c>
      <c r="D66" s="9">
        <v>1080.8</v>
      </c>
      <c r="E66" s="9">
        <v>191.2</v>
      </c>
      <c r="F66" s="13">
        <v>5740</v>
      </c>
      <c r="G66" s="13">
        <v>8163</v>
      </c>
      <c r="H66" s="18" t="s">
        <v>181</v>
      </c>
    </row>
    <row r="67" spans="1:8" x14ac:dyDescent="0.25">
      <c r="A67" s="10">
        <v>5</v>
      </c>
      <c r="B67" s="10">
        <v>189</v>
      </c>
      <c r="C67" s="10">
        <v>2</v>
      </c>
      <c r="D67" s="9">
        <v>1075.9000000000001</v>
      </c>
      <c r="E67" s="9">
        <v>187.1</v>
      </c>
      <c r="F67" s="13">
        <v>5747</v>
      </c>
      <c r="G67" s="13">
        <v>8007</v>
      </c>
      <c r="H67" s="18" t="s">
        <v>181</v>
      </c>
    </row>
    <row r="68" spans="1:8" x14ac:dyDescent="0.25">
      <c r="A68" s="10">
        <v>5</v>
      </c>
      <c r="B68" s="10">
        <v>189</v>
      </c>
      <c r="C68" s="10">
        <v>3</v>
      </c>
      <c r="D68" s="9">
        <v>1071.5</v>
      </c>
      <c r="E68" s="9">
        <v>182.7</v>
      </c>
      <c r="F68" s="13">
        <v>5569</v>
      </c>
      <c r="G68" s="13">
        <v>7985</v>
      </c>
      <c r="H68" s="18" t="s">
        <v>182</v>
      </c>
    </row>
    <row r="69" spans="1:8" x14ac:dyDescent="0.25">
      <c r="A69" s="10">
        <v>5</v>
      </c>
      <c r="B69" s="10">
        <v>189</v>
      </c>
      <c r="C69" s="10">
        <v>4</v>
      </c>
      <c r="D69" s="9">
        <v>1071.3</v>
      </c>
      <c r="E69" s="9">
        <v>182</v>
      </c>
      <c r="F69" s="13">
        <v>5522</v>
      </c>
      <c r="G69" s="13">
        <v>7943</v>
      </c>
      <c r="H69" s="18" t="s">
        <v>181</v>
      </c>
    </row>
    <row r="70" spans="1:8" x14ac:dyDescent="0.25">
      <c r="A70" s="10">
        <v>5</v>
      </c>
      <c r="B70" s="10">
        <v>189</v>
      </c>
      <c r="C70" s="10">
        <v>5</v>
      </c>
      <c r="D70" s="9">
        <v>1073</v>
      </c>
      <c r="E70" s="9">
        <v>184.3</v>
      </c>
      <c r="F70" s="13">
        <v>5535</v>
      </c>
      <c r="G70" s="13">
        <v>8001</v>
      </c>
      <c r="H70" s="18" t="s">
        <v>181</v>
      </c>
    </row>
    <row r="71" spans="1:8" x14ac:dyDescent="0.25">
      <c r="A71" s="10">
        <v>5</v>
      </c>
      <c r="B71" s="10">
        <v>189</v>
      </c>
      <c r="C71" s="10">
        <v>6</v>
      </c>
      <c r="D71" s="9">
        <v>1076.5999999999999</v>
      </c>
      <c r="E71" s="9">
        <v>187.8</v>
      </c>
      <c r="F71" s="13">
        <v>5935</v>
      </c>
      <c r="G71" s="13">
        <v>8126</v>
      </c>
      <c r="H71" s="18" t="s">
        <v>181</v>
      </c>
    </row>
    <row r="72" spans="1:8" x14ac:dyDescent="0.25">
      <c r="A72" s="10">
        <v>5</v>
      </c>
      <c r="B72" s="10">
        <v>189</v>
      </c>
      <c r="C72" s="10">
        <v>7</v>
      </c>
      <c r="D72" s="9">
        <v>1073.9000000000001</v>
      </c>
      <c r="E72" s="9">
        <v>184.9</v>
      </c>
      <c r="F72" s="13">
        <v>5500</v>
      </c>
      <c r="G72" s="13">
        <v>7924</v>
      </c>
      <c r="H72" s="18" t="s">
        <v>181</v>
      </c>
    </row>
    <row r="73" spans="1:8" x14ac:dyDescent="0.25">
      <c r="A73" s="10">
        <v>5</v>
      </c>
      <c r="B73" s="10">
        <v>189</v>
      </c>
      <c r="C73" s="10">
        <v>8</v>
      </c>
      <c r="D73" s="9">
        <v>1075.7</v>
      </c>
      <c r="E73" s="9">
        <v>186.8</v>
      </c>
      <c r="F73" s="13">
        <v>5862</v>
      </c>
      <c r="G73" s="13">
        <v>8176</v>
      </c>
      <c r="H73" s="18" t="s">
        <v>181</v>
      </c>
    </row>
    <row r="74" spans="1:8" x14ac:dyDescent="0.25">
      <c r="A74" s="10">
        <v>5</v>
      </c>
      <c r="B74" s="10">
        <v>189</v>
      </c>
      <c r="C74" s="10">
        <v>9</v>
      </c>
      <c r="D74" s="9">
        <v>1076.0999999999999</v>
      </c>
      <c r="E74" s="9">
        <v>187</v>
      </c>
      <c r="F74" s="13">
        <v>5832</v>
      </c>
      <c r="G74" s="13">
        <v>8193</v>
      </c>
      <c r="H74" s="18" t="s">
        <v>181</v>
      </c>
    </row>
    <row r="75" spans="1:8" x14ac:dyDescent="0.25">
      <c r="A75" s="10">
        <v>5</v>
      </c>
      <c r="B75" s="10">
        <v>189</v>
      </c>
      <c r="C75" s="10">
        <v>10</v>
      </c>
      <c r="D75" s="9">
        <v>1073.2</v>
      </c>
      <c r="E75" s="9">
        <v>183.7</v>
      </c>
      <c r="F75" s="13">
        <v>5555</v>
      </c>
      <c r="G75" s="13">
        <v>7803</v>
      </c>
      <c r="H75" s="18" t="s">
        <v>181</v>
      </c>
    </row>
  </sheetData>
  <mergeCells count="1">
    <mergeCell ref="A2:O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101"/>
  <sheetViews>
    <sheetView workbookViewId="0">
      <pane xSplit="1" ySplit="1" topLeftCell="B2" activePane="bottomRight" state="frozen"/>
      <selection pane="topRight"/>
      <selection pane="bottomLeft"/>
      <selection pane="bottomRight"/>
    </sheetView>
  </sheetViews>
  <sheetFormatPr baseColWidth="10" defaultColWidth="9.140625" defaultRowHeight="15" x14ac:dyDescent="0.25"/>
  <cols>
    <col min="1" max="1" width="9" customWidth="1"/>
    <col min="2" max="43" width="15" customWidth="1"/>
  </cols>
  <sheetData>
    <row r="1" spans="1:43" ht="60" customHeight="1" x14ac:dyDescent="0.25">
      <c r="A1" s="7" t="s">
        <v>5</v>
      </c>
      <c r="B1" s="7" t="s">
        <v>209</v>
      </c>
      <c r="C1" s="7" t="s">
        <v>210</v>
      </c>
      <c r="D1" s="7" t="s">
        <v>211</v>
      </c>
      <c r="E1" s="7" t="s">
        <v>212</v>
      </c>
      <c r="F1" s="7" t="s">
        <v>213</v>
      </c>
      <c r="G1" s="7" t="s">
        <v>214</v>
      </c>
      <c r="H1" s="7" t="s">
        <v>215</v>
      </c>
      <c r="I1" s="7" t="s">
        <v>216</v>
      </c>
      <c r="J1" s="7" t="s">
        <v>217</v>
      </c>
      <c r="K1" s="7" t="s">
        <v>218</v>
      </c>
      <c r="L1" s="7" t="s">
        <v>219</v>
      </c>
      <c r="M1" s="7" t="s">
        <v>220</v>
      </c>
      <c r="N1" s="7" t="s">
        <v>221</v>
      </c>
      <c r="O1" s="7" t="s">
        <v>222</v>
      </c>
      <c r="P1" s="7" t="s">
        <v>223</v>
      </c>
      <c r="Q1" s="7" t="s">
        <v>224</v>
      </c>
      <c r="R1" s="7" t="s">
        <v>225</v>
      </c>
      <c r="S1" s="7" t="s">
        <v>226</v>
      </c>
      <c r="T1" s="7" t="s">
        <v>227</v>
      </c>
      <c r="U1" s="7" t="s">
        <v>228</v>
      </c>
      <c r="V1" s="7" t="s">
        <v>229</v>
      </c>
      <c r="W1" s="7" t="s">
        <v>230</v>
      </c>
      <c r="X1" s="7" t="s">
        <v>231</v>
      </c>
      <c r="Y1" s="7" t="s">
        <v>232</v>
      </c>
      <c r="Z1" s="7" t="s">
        <v>233</v>
      </c>
      <c r="AA1" s="7" t="s">
        <v>234</v>
      </c>
      <c r="AB1" s="7" t="s">
        <v>235</v>
      </c>
      <c r="AC1" s="7" t="s">
        <v>236</v>
      </c>
      <c r="AD1" s="7" t="s">
        <v>237</v>
      </c>
      <c r="AE1" s="7" t="s">
        <v>238</v>
      </c>
      <c r="AF1" s="7" t="s">
        <v>239</v>
      </c>
      <c r="AG1" s="7" t="s">
        <v>240</v>
      </c>
      <c r="AH1" s="7" t="s">
        <v>241</v>
      </c>
      <c r="AI1" s="7" t="s">
        <v>242</v>
      </c>
      <c r="AJ1" s="7" t="s">
        <v>243</v>
      </c>
      <c r="AK1" s="7" t="s">
        <v>244</v>
      </c>
      <c r="AL1" s="7" t="s">
        <v>245</v>
      </c>
      <c r="AM1" s="7" t="s">
        <v>246</v>
      </c>
      <c r="AN1" s="7" t="s">
        <v>247</v>
      </c>
      <c r="AO1" s="7" t="s">
        <v>248</v>
      </c>
      <c r="AP1" s="7" t="s">
        <v>249</v>
      </c>
      <c r="AQ1" s="7" t="s">
        <v>250</v>
      </c>
    </row>
    <row r="2" spans="1:43" x14ac:dyDescent="0.25">
      <c r="A2" s="10">
        <v>1</v>
      </c>
      <c r="B2" s="9">
        <v>1113.0999999999999</v>
      </c>
      <c r="C2" s="9">
        <v>1064.7</v>
      </c>
      <c r="D2" s="9">
        <f t="shared" ref="D2:D33" si="0">C2-B2</f>
        <v>-48.399999999999864</v>
      </c>
      <c r="E2" s="9">
        <v>191.8</v>
      </c>
      <c r="F2" s="9">
        <v>176.2</v>
      </c>
      <c r="G2" s="9">
        <f t="shared" ref="G2:G33" si="1">F2-E2</f>
        <v>-15.600000000000023</v>
      </c>
      <c r="H2" s="9">
        <v>1121.7</v>
      </c>
      <c r="I2" s="9">
        <v>1074.4000000000001</v>
      </c>
      <c r="J2" s="9">
        <f t="shared" ref="J2:J33" si="2">I2-H2</f>
        <v>-47.299999999999955</v>
      </c>
      <c r="K2" s="9">
        <v>202.1</v>
      </c>
      <c r="L2" s="9">
        <v>188.7</v>
      </c>
      <c r="M2" s="9">
        <f t="shared" ref="M2:M33" si="3">L2-K2</f>
        <v>-13.400000000000006</v>
      </c>
      <c r="N2" s="9">
        <v>1108.3</v>
      </c>
      <c r="O2" s="9">
        <v>1066.2</v>
      </c>
      <c r="P2" s="9">
        <f t="shared" ref="P2:P33" si="4">O2-N2</f>
        <v>-42.099999999999909</v>
      </c>
      <c r="Q2" s="9">
        <v>186.3</v>
      </c>
      <c r="R2" s="9">
        <v>176.5</v>
      </c>
      <c r="S2" s="9">
        <f t="shared" ref="S2:S33" si="5">R2-Q2</f>
        <v>-9.8000000000000114</v>
      </c>
      <c r="T2" s="9">
        <v>1108.8</v>
      </c>
      <c r="U2" s="9">
        <v>1067.3</v>
      </c>
      <c r="V2" s="9">
        <f t="shared" ref="V2:V33" si="6">U2-T2</f>
        <v>-41.5</v>
      </c>
      <c r="W2" s="9">
        <v>186.9</v>
      </c>
      <c r="X2" s="9">
        <v>177.7</v>
      </c>
      <c r="Y2" s="9">
        <f t="shared" ref="Y2:Y33" si="7">X2-W2</f>
        <v>-9.2000000000000171</v>
      </c>
      <c r="Z2" s="9">
        <v>1108.8</v>
      </c>
      <c r="AA2" s="9">
        <v>1068.0999999999999</v>
      </c>
      <c r="AB2" s="9">
        <f t="shared" ref="AB2:AB33" si="8">AA2-Z2</f>
        <v>-40.700000000000045</v>
      </c>
      <c r="AC2" s="9">
        <v>186.9</v>
      </c>
      <c r="AD2" s="9">
        <v>178.4</v>
      </c>
      <c r="AE2" s="9">
        <f t="shared" ref="AE2:AE33" si="9">AD2-AC2</f>
        <v>-8.5</v>
      </c>
      <c r="AF2" s="9">
        <v>1110.5999999999999</v>
      </c>
      <c r="AG2" s="9">
        <v>1069.0999999999999</v>
      </c>
      <c r="AH2" s="9">
        <f t="shared" ref="AH2:AH33" si="10">AG2-AF2</f>
        <v>-41.5</v>
      </c>
      <c r="AI2" s="9">
        <v>187.6</v>
      </c>
      <c r="AJ2" s="9">
        <v>178.8</v>
      </c>
      <c r="AK2" s="9">
        <f t="shared" ref="AK2:AK33" si="11">AJ2-AI2</f>
        <v>-8.7999999999999829</v>
      </c>
      <c r="AL2" s="9">
        <v>1115.7</v>
      </c>
      <c r="AM2" s="9">
        <v>1073.4000000000001</v>
      </c>
      <c r="AN2" s="9">
        <f t="shared" ref="AN2:AN33" si="12">AM2-AL2</f>
        <v>-42.299999999999955</v>
      </c>
      <c r="AO2" s="9">
        <v>188.7</v>
      </c>
      <c r="AP2" s="9">
        <v>179.8</v>
      </c>
      <c r="AQ2" s="9">
        <f t="shared" ref="AQ2:AQ33" si="13">AP2-AO2</f>
        <v>-8.8999999999999773</v>
      </c>
    </row>
    <row r="3" spans="1:43" x14ac:dyDescent="0.25">
      <c r="A3" s="10">
        <v>2</v>
      </c>
      <c r="B3" s="9">
        <v>1109.9000000000001</v>
      </c>
      <c r="C3" s="9">
        <v>1068.5999999999999</v>
      </c>
      <c r="D3" s="9">
        <f t="shared" si="0"/>
        <v>-41.300000000000182</v>
      </c>
      <c r="E3" s="9">
        <v>187.8</v>
      </c>
      <c r="F3" s="9">
        <v>178.9</v>
      </c>
      <c r="G3" s="9">
        <f t="shared" si="1"/>
        <v>-8.9000000000000057</v>
      </c>
      <c r="H3" s="9">
        <v>1119.0999999999999</v>
      </c>
      <c r="I3" s="9">
        <v>1072.5999999999999</v>
      </c>
      <c r="J3" s="9">
        <f t="shared" si="2"/>
        <v>-46.5</v>
      </c>
      <c r="K3" s="9">
        <v>199.7</v>
      </c>
      <c r="L3" s="9">
        <v>186.5</v>
      </c>
      <c r="M3" s="9">
        <f t="shared" si="3"/>
        <v>-13.199999999999989</v>
      </c>
      <c r="N3" s="9">
        <v>1109.5</v>
      </c>
      <c r="O3" s="9">
        <v>1064.4000000000001</v>
      </c>
      <c r="P3" s="9">
        <f t="shared" si="4"/>
        <v>-45.099999999999909</v>
      </c>
      <c r="Q3" s="9">
        <v>187.3</v>
      </c>
      <c r="R3" s="9">
        <v>174.9</v>
      </c>
      <c r="S3" s="9">
        <f t="shared" si="5"/>
        <v>-12.400000000000006</v>
      </c>
      <c r="T3" s="9">
        <v>1110.2</v>
      </c>
      <c r="U3" s="9">
        <v>1065</v>
      </c>
      <c r="V3" s="9">
        <f t="shared" si="6"/>
        <v>-45.200000000000045</v>
      </c>
      <c r="W3" s="9">
        <v>188</v>
      </c>
      <c r="X3" s="9">
        <v>175.6</v>
      </c>
      <c r="Y3" s="9">
        <f t="shared" si="7"/>
        <v>-12.400000000000006</v>
      </c>
      <c r="Z3" s="9">
        <v>1110.3</v>
      </c>
      <c r="AA3" s="9">
        <v>1065.4000000000001</v>
      </c>
      <c r="AB3" s="9">
        <f t="shared" si="8"/>
        <v>-44.899999999999864</v>
      </c>
      <c r="AC3" s="9">
        <v>188.1</v>
      </c>
      <c r="AD3" s="9">
        <v>175.9</v>
      </c>
      <c r="AE3" s="9">
        <f t="shared" si="9"/>
        <v>-12.199999999999989</v>
      </c>
      <c r="AF3" s="9">
        <v>1111.5999999999999</v>
      </c>
      <c r="AG3" s="9">
        <v>1066.2</v>
      </c>
      <c r="AH3" s="9">
        <f t="shared" si="10"/>
        <v>-45.399999999999864</v>
      </c>
      <c r="AI3" s="9">
        <v>188.5</v>
      </c>
      <c r="AJ3" s="9">
        <v>176.2</v>
      </c>
      <c r="AK3" s="9">
        <f t="shared" si="11"/>
        <v>-12.300000000000011</v>
      </c>
      <c r="AL3" s="9">
        <v>1117.0999999999999</v>
      </c>
      <c r="AM3" s="9">
        <v>1069.9000000000001</v>
      </c>
      <c r="AN3" s="9">
        <f t="shared" si="12"/>
        <v>-47.199999999999818</v>
      </c>
      <c r="AO3" s="9">
        <v>190.1</v>
      </c>
      <c r="AP3" s="9">
        <v>177.1</v>
      </c>
      <c r="AQ3" s="9">
        <f t="shared" si="13"/>
        <v>-13</v>
      </c>
    </row>
    <row r="4" spans="1:43" x14ac:dyDescent="0.25">
      <c r="A4" s="10">
        <v>3</v>
      </c>
      <c r="B4" s="9">
        <v>1112.2</v>
      </c>
      <c r="C4" s="9">
        <v>1065.9000000000001</v>
      </c>
      <c r="D4" s="9">
        <f t="shared" si="0"/>
        <v>-46.299999999999955</v>
      </c>
      <c r="E4" s="9">
        <v>190.1</v>
      </c>
      <c r="F4" s="9">
        <v>177.3</v>
      </c>
      <c r="G4" s="9">
        <f t="shared" si="1"/>
        <v>-12.799999999999983</v>
      </c>
      <c r="H4" s="9">
        <v>1118.0999999999999</v>
      </c>
      <c r="I4" s="9">
        <v>1076.9000000000001</v>
      </c>
      <c r="J4" s="9">
        <f t="shared" si="2"/>
        <v>-41.199999999999818</v>
      </c>
      <c r="K4" s="9">
        <v>199.2</v>
      </c>
      <c r="L4" s="9">
        <v>190.5</v>
      </c>
      <c r="M4" s="9">
        <f t="shared" si="3"/>
        <v>-8.6999999999999886</v>
      </c>
      <c r="N4" s="9">
        <v>1109.3</v>
      </c>
      <c r="O4" s="9">
        <v>1063.5</v>
      </c>
      <c r="P4" s="9">
        <f t="shared" si="4"/>
        <v>-45.799999999999955</v>
      </c>
      <c r="Q4" s="9">
        <v>187.1</v>
      </c>
      <c r="R4" s="9">
        <v>174.3</v>
      </c>
      <c r="S4" s="9">
        <f t="shared" si="5"/>
        <v>-12.799999999999983</v>
      </c>
      <c r="T4" s="9">
        <v>1109.9000000000001</v>
      </c>
      <c r="U4" s="9">
        <v>1064.4000000000001</v>
      </c>
      <c r="V4" s="9">
        <f t="shared" si="6"/>
        <v>-45.5</v>
      </c>
      <c r="W4" s="9">
        <v>187.6</v>
      </c>
      <c r="X4" s="9">
        <v>175.2</v>
      </c>
      <c r="Y4" s="9">
        <f t="shared" si="7"/>
        <v>-12.400000000000006</v>
      </c>
      <c r="Z4" s="9">
        <v>1109.9000000000001</v>
      </c>
      <c r="AA4" s="9">
        <v>1064.5999999999999</v>
      </c>
      <c r="AB4" s="9">
        <f t="shared" si="8"/>
        <v>-45.300000000000182</v>
      </c>
      <c r="AC4" s="9">
        <v>187.6</v>
      </c>
      <c r="AD4" s="9">
        <v>175.5</v>
      </c>
      <c r="AE4" s="9">
        <f t="shared" si="9"/>
        <v>-12.099999999999994</v>
      </c>
      <c r="AF4" s="9">
        <v>1111.4000000000001</v>
      </c>
      <c r="AG4" s="9">
        <v>1065.4000000000001</v>
      </c>
      <c r="AH4" s="9">
        <f t="shared" si="10"/>
        <v>-46</v>
      </c>
      <c r="AI4" s="9">
        <v>188.2</v>
      </c>
      <c r="AJ4" s="9">
        <v>175.7</v>
      </c>
      <c r="AK4" s="9">
        <f t="shared" si="11"/>
        <v>-12.5</v>
      </c>
      <c r="AL4" s="9">
        <v>1116.4000000000001</v>
      </c>
      <c r="AM4" s="9">
        <v>1069.4000000000001</v>
      </c>
      <c r="AN4" s="9">
        <f t="shared" si="12"/>
        <v>-47</v>
      </c>
      <c r="AO4" s="9">
        <v>189.3</v>
      </c>
      <c r="AP4" s="9">
        <v>176.6</v>
      </c>
      <c r="AQ4" s="9">
        <f t="shared" si="13"/>
        <v>-12.700000000000017</v>
      </c>
    </row>
    <row r="5" spans="1:43" x14ac:dyDescent="0.25">
      <c r="A5" s="10">
        <v>4</v>
      </c>
      <c r="B5" s="9">
        <v>1110.2</v>
      </c>
      <c r="C5" s="9">
        <v>1065.5</v>
      </c>
      <c r="D5" s="9">
        <f t="shared" si="0"/>
        <v>-44.700000000000045</v>
      </c>
      <c r="E5" s="9">
        <v>187.6</v>
      </c>
      <c r="F5" s="9">
        <v>176.3</v>
      </c>
      <c r="G5" s="9">
        <f t="shared" si="1"/>
        <v>-11.299999999999983</v>
      </c>
      <c r="H5" s="9">
        <v>1119.2</v>
      </c>
      <c r="I5" s="9">
        <v>1073.3</v>
      </c>
      <c r="J5" s="9">
        <f t="shared" si="2"/>
        <v>-45.900000000000091</v>
      </c>
      <c r="K5" s="9">
        <v>199.4</v>
      </c>
      <c r="L5" s="9">
        <v>187.5</v>
      </c>
      <c r="M5" s="9">
        <f t="shared" si="3"/>
        <v>-11.900000000000006</v>
      </c>
      <c r="N5" s="9">
        <v>1106.5999999999999</v>
      </c>
      <c r="O5" s="9">
        <v>1063.7</v>
      </c>
      <c r="P5" s="9">
        <f t="shared" si="4"/>
        <v>-42.899999999999864</v>
      </c>
      <c r="Q5" s="9">
        <v>184.2</v>
      </c>
      <c r="R5" s="9">
        <v>174.3</v>
      </c>
      <c r="S5" s="9">
        <f t="shared" si="5"/>
        <v>-9.8999999999999773</v>
      </c>
      <c r="T5" s="9">
        <v>1107.2</v>
      </c>
      <c r="U5" s="9">
        <v>1064.0999999999999</v>
      </c>
      <c r="V5" s="9">
        <f t="shared" si="6"/>
        <v>-43.100000000000136</v>
      </c>
      <c r="W5" s="9">
        <v>184.9</v>
      </c>
      <c r="X5" s="9">
        <v>174.6</v>
      </c>
      <c r="Y5" s="9">
        <f t="shared" si="7"/>
        <v>-10.300000000000011</v>
      </c>
      <c r="Z5" s="9">
        <v>1107.2</v>
      </c>
      <c r="AA5" s="9">
        <v>1064.0999999999999</v>
      </c>
      <c r="AB5" s="9">
        <f t="shared" si="8"/>
        <v>-43.100000000000136</v>
      </c>
      <c r="AC5" s="9">
        <v>184.9</v>
      </c>
      <c r="AD5" s="9">
        <v>174.6</v>
      </c>
      <c r="AE5" s="9">
        <f t="shared" si="9"/>
        <v>-10.300000000000011</v>
      </c>
      <c r="AF5" s="9">
        <v>1108.5999999999999</v>
      </c>
      <c r="AG5" s="9">
        <v>1064.7</v>
      </c>
      <c r="AH5" s="9">
        <f t="shared" si="10"/>
        <v>-43.899999999999864</v>
      </c>
      <c r="AI5" s="9">
        <v>185.3</v>
      </c>
      <c r="AJ5" s="9">
        <v>174.8</v>
      </c>
      <c r="AK5" s="9">
        <f t="shared" si="11"/>
        <v>-10.5</v>
      </c>
      <c r="AL5" s="9">
        <v>1113.5</v>
      </c>
      <c r="AM5" s="9">
        <v>1068.2</v>
      </c>
      <c r="AN5" s="9">
        <f t="shared" si="12"/>
        <v>-45.299999999999955</v>
      </c>
      <c r="AO5" s="9">
        <v>186.6</v>
      </c>
      <c r="AP5" s="9">
        <v>175.4</v>
      </c>
      <c r="AQ5" s="9">
        <f t="shared" si="13"/>
        <v>-11.199999999999989</v>
      </c>
    </row>
    <row r="6" spans="1:43" x14ac:dyDescent="0.25">
      <c r="A6" s="10">
        <v>5</v>
      </c>
      <c r="B6" s="9">
        <v>1114.3</v>
      </c>
      <c r="C6" s="9">
        <v>1064.3</v>
      </c>
      <c r="D6" s="9">
        <f t="shared" si="0"/>
        <v>-50</v>
      </c>
      <c r="E6" s="9">
        <v>192.6</v>
      </c>
      <c r="F6" s="9">
        <v>175.2</v>
      </c>
      <c r="G6" s="9">
        <f t="shared" si="1"/>
        <v>-17.400000000000006</v>
      </c>
      <c r="H6" s="9">
        <v>1118.7</v>
      </c>
      <c r="I6" s="9">
        <v>1072.5999999999999</v>
      </c>
      <c r="J6" s="9">
        <f t="shared" si="2"/>
        <v>-46.100000000000136</v>
      </c>
      <c r="K6" s="9">
        <v>199.2</v>
      </c>
      <c r="L6" s="9">
        <v>186.7</v>
      </c>
      <c r="M6" s="9">
        <f t="shared" si="3"/>
        <v>-12.5</v>
      </c>
      <c r="N6" s="9">
        <v>1110</v>
      </c>
      <c r="O6" s="9">
        <v>1064.0999999999999</v>
      </c>
      <c r="P6" s="9">
        <f t="shared" si="4"/>
        <v>-45.900000000000091</v>
      </c>
      <c r="Q6" s="9">
        <v>187.8</v>
      </c>
      <c r="R6" s="9">
        <v>175.5</v>
      </c>
      <c r="S6" s="9">
        <f t="shared" si="5"/>
        <v>-12.300000000000011</v>
      </c>
      <c r="T6" s="9">
        <v>1110.9000000000001</v>
      </c>
      <c r="U6" s="9">
        <v>1065.0999999999999</v>
      </c>
      <c r="V6" s="9">
        <f t="shared" si="6"/>
        <v>-45.800000000000182</v>
      </c>
      <c r="W6" s="9">
        <v>188.6</v>
      </c>
      <c r="X6" s="9">
        <v>176.5</v>
      </c>
      <c r="Y6" s="9">
        <f t="shared" si="7"/>
        <v>-12.099999999999994</v>
      </c>
      <c r="Z6" s="9">
        <v>1111</v>
      </c>
      <c r="AA6" s="9">
        <v>1066</v>
      </c>
      <c r="AB6" s="9">
        <f t="shared" si="8"/>
        <v>-45</v>
      </c>
      <c r="AC6" s="9">
        <v>188.8</v>
      </c>
      <c r="AD6" s="9">
        <v>177.5</v>
      </c>
      <c r="AE6" s="9">
        <f t="shared" si="9"/>
        <v>-11.300000000000011</v>
      </c>
      <c r="AF6" s="9">
        <v>1112.5999999999999</v>
      </c>
      <c r="AG6" s="9">
        <v>1066.9000000000001</v>
      </c>
      <c r="AH6" s="9">
        <f t="shared" si="10"/>
        <v>-45.699999999999818</v>
      </c>
      <c r="AI6" s="9">
        <v>189.3</v>
      </c>
      <c r="AJ6" s="9">
        <v>177.7</v>
      </c>
      <c r="AK6" s="9">
        <f t="shared" si="11"/>
        <v>-11.600000000000023</v>
      </c>
      <c r="AL6" s="9">
        <v>1118.7</v>
      </c>
      <c r="AM6" s="9">
        <v>1071.0999999999999</v>
      </c>
      <c r="AN6" s="9">
        <f t="shared" si="12"/>
        <v>-47.600000000000136</v>
      </c>
      <c r="AO6" s="9">
        <v>191.2</v>
      </c>
      <c r="AP6" s="9">
        <v>178.9</v>
      </c>
      <c r="AQ6" s="9">
        <f t="shared" si="13"/>
        <v>-12.299999999999983</v>
      </c>
    </row>
    <row r="7" spans="1:43" x14ac:dyDescent="0.25">
      <c r="A7" s="10">
        <v>6</v>
      </c>
      <c r="B7" s="9">
        <v>1110.8</v>
      </c>
      <c r="C7" s="9">
        <v>1064.7</v>
      </c>
      <c r="D7" s="9">
        <f t="shared" si="0"/>
        <v>-46.099999999999909</v>
      </c>
      <c r="E7" s="9">
        <v>188.2</v>
      </c>
      <c r="F7" s="9">
        <v>174.9</v>
      </c>
      <c r="G7" s="9">
        <f t="shared" si="1"/>
        <v>-13.299999999999983</v>
      </c>
      <c r="H7" s="9">
        <v>1123.2</v>
      </c>
      <c r="I7" s="9">
        <v>1075.3</v>
      </c>
      <c r="J7" s="9">
        <f t="shared" si="2"/>
        <v>-47.900000000000091</v>
      </c>
      <c r="K7" s="9">
        <v>204.6</v>
      </c>
      <c r="L7" s="9">
        <v>189.4</v>
      </c>
      <c r="M7" s="9">
        <f t="shared" si="3"/>
        <v>-15.199999999999989</v>
      </c>
      <c r="N7" s="9">
        <v>1109.0999999999999</v>
      </c>
      <c r="O7" s="9">
        <v>1067</v>
      </c>
      <c r="P7" s="9">
        <f t="shared" si="4"/>
        <v>-42.099999999999909</v>
      </c>
      <c r="Q7" s="9">
        <v>185.7</v>
      </c>
      <c r="R7" s="9">
        <v>178.2</v>
      </c>
      <c r="S7" s="9">
        <f t="shared" si="5"/>
        <v>-7.5</v>
      </c>
      <c r="T7" s="9">
        <v>1109.8</v>
      </c>
      <c r="U7" s="9">
        <v>1067.9000000000001</v>
      </c>
      <c r="V7" s="9">
        <f t="shared" si="6"/>
        <v>-41.899999999999864</v>
      </c>
      <c r="W7" s="9">
        <v>186.5</v>
      </c>
      <c r="X7" s="9">
        <v>179.2</v>
      </c>
      <c r="Y7" s="9">
        <f t="shared" si="7"/>
        <v>-7.3000000000000114</v>
      </c>
      <c r="Z7" s="9">
        <v>1110.4000000000001</v>
      </c>
      <c r="AA7" s="9">
        <v>1069.3</v>
      </c>
      <c r="AB7" s="9">
        <f t="shared" si="8"/>
        <v>-41.100000000000136</v>
      </c>
      <c r="AC7" s="9">
        <v>187.1</v>
      </c>
      <c r="AD7" s="9">
        <v>180.6</v>
      </c>
      <c r="AE7" s="9">
        <f t="shared" si="9"/>
        <v>-6.5</v>
      </c>
      <c r="AF7" s="9">
        <v>1111.9000000000001</v>
      </c>
      <c r="AG7" s="9">
        <v>1070.5</v>
      </c>
      <c r="AH7" s="9">
        <f t="shared" si="10"/>
        <v>-41.400000000000091</v>
      </c>
      <c r="AI7" s="9">
        <v>187.6</v>
      </c>
      <c r="AJ7" s="9">
        <v>181</v>
      </c>
      <c r="AK7" s="9">
        <f t="shared" si="11"/>
        <v>-6.5999999999999943</v>
      </c>
      <c r="AL7" s="9">
        <v>1117.5999999999999</v>
      </c>
      <c r="AM7" s="9">
        <v>1075.2</v>
      </c>
      <c r="AN7" s="9">
        <f t="shared" si="12"/>
        <v>-42.399999999999864</v>
      </c>
      <c r="AO7" s="9">
        <v>189.4</v>
      </c>
      <c r="AP7" s="9">
        <v>182.4</v>
      </c>
      <c r="AQ7" s="9">
        <f t="shared" si="13"/>
        <v>-7</v>
      </c>
    </row>
    <row r="8" spans="1:43" x14ac:dyDescent="0.25">
      <c r="A8" s="10">
        <v>7</v>
      </c>
      <c r="B8" s="9">
        <v>1112.3</v>
      </c>
      <c r="C8" s="9">
        <v>1064.2</v>
      </c>
      <c r="D8" s="9">
        <f t="shared" si="0"/>
        <v>-48.099999999999909</v>
      </c>
      <c r="E8" s="9">
        <v>189.3</v>
      </c>
      <c r="F8" s="9">
        <v>175</v>
      </c>
      <c r="G8" s="9">
        <f t="shared" si="1"/>
        <v>-14.300000000000011</v>
      </c>
      <c r="H8" s="9">
        <v>1121</v>
      </c>
      <c r="I8" s="9">
        <v>1074</v>
      </c>
      <c r="J8" s="9">
        <f t="shared" si="2"/>
        <v>-47</v>
      </c>
      <c r="K8" s="9">
        <v>201.6</v>
      </c>
      <c r="L8" s="9">
        <v>188.2</v>
      </c>
      <c r="M8" s="9">
        <f t="shared" si="3"/>
        <v>-13.400000000000006</v>
      </c>
      <c r="N8" s="9">
        <v>1109.4000000000001</v>
      </c>
      <c r="O8" s="9">
        <v>1066.4000000000001</v>
      </c>
      <c r="P8" s="9">
        <f t="shared" si="4"/>
        <v>-43</v>
      </c>
      <c r="Q8" s="9">
        <v>187.4</v>
      </c>
      <c r="R8" s="9">
        <v>176.7</v>
      </c>
      <c r="S8" s="9">
        <f t="shared" si="5"/>
        <v>-10.700000000000017</v>
      </c>
      <c r="T8" s="9">
        <v>1110.2</v>
      </c>
      <c r="U8" s="9">
        <v>1067.2</v>
      </c>
      <c r="V8" s="9">
        <f t="shared" si="6"/>
        <v>-43</v>
      </c>
      <c r="W8" s="9">
        <v>188.2</v>
      </c>
      <c r="X8" s="9">
        <v>177.5</v>
      </c>
      <c r="Y8" s="9">
        <f t="shared" si="7"/>
        <v>-10.699999999999989</v>
      </c>
      <c r="Z8" s="9">
        <v>1110.2</v>
      </c>
      <c r="AA8" s="9">
        <v>1067.2</v>
      </c>
      <c r="AB8" s="9">
        <f t="shared" si="8"/>
        <v>-43</v>
      </c>
      <c r="AC8" s="9">
        <v>188.2</v>
      </c>
      <c r="AD8" s="9">
        <v>177.6</v>
      </c>
      <c r="AE8" s="9">
        <f t="shared" si="9"/>
        <v>-10.599999999999994</v>
      </c>
      <c r="AF8" s="9">
        <v>1111.8</v>
      </c>
      <c r="AG8" s="9">
        <v>1068.4000000000001</v>
      </c>
      <c r="AH8" s="9">
        <f t="shared" si="10"/>
        <v>-43.399999999999864</v>
      </c>
      <c r="AI8" s="9">
        <v>188.9</v>
      </c>
      <c r="AJ8" s="9">
        <v>178</v>
      </c>
      <c r="AK8" s="9">
        <f t="shared" si="11"/>
        <v>-10.900000000000006</v>
      </c>
      <c r="AL8" s="9">
        <v>1117.3</v>
      </c>
      <c r="AM8" s="9">
        <v>1072.9000000000001</v>
      </c>
      <c r="AN8" s="9">
        <f t="shared" si="12"/>
        <v>-44.399999999999864</v>
      </c>
      <c r="AO8" s="9">
        <v>190.7</v>
      </c>
      <c r="AP8" s="9">
        <v>179.2</v>
      </c>
      <c r="AQ8" s="9">
        <f t="shared" si="13"/>
        <v>-11.5</v>
      </c>
    </row>
    <row r="9" spans="1:43" x14ac:dyDescent="0.25">
      <c r="A9" s="10">
        <v>8</v>
      </c>
      <c r="B9" s="9">
        <v>1109</v>
      </c>
      <c r="C9" s="9">
        <v>1067.7</v>
      </c>
      <c r="D9" s="9">
        <f t="shared" si="0"/>
        <v>-41.299999999999955</v>
      </c>
      <c r="E9" s="9">
        <v>187.5</v>
      </c>
      <c r="F9" s="9">
        <v>178.7</v>
      </c>
      <c r="G9" s="9">
        <f t="shared" si="1"/>
        <v>-8.8000000000000114</v>
      </c>
      <c r="H9" s="9">
        <v>1122.4000000000001</v>
      </c>
      <c r="I9" s="9">
        <v>1071.7</v>
      </c>
      <c r="J9" s="9">
        <f t="shared" si="2"/>
        <v>-50.700000000000045</v>
      </c>
      <c r="K9" s="9">
        <v>202.1</v>
      </c>
      <c r="L9" s="9">
        <v>186.6</v>
      </c>
      <c r="M9" s="9">
        <f t="shared" si="3"/>
        <v>-15.5</v>
      </c>
      <c r="N9" s="9">
        <v>1109.8</v>
      </c>
      <c r="O9" s="9">
        <v>1061.2</v>
      </c>
      <c r="P9" s="9">
        <f t="shared" si="4"/>
        <v>-48.599999999999909</v>
      </c>
      <c r="Q9" s="9">
        <v>188.2</v>
      </c>
      <c r="R9" s="9">
        <v>173.2</v>
      </c>
      <c r="S9" s="9">
        <f t="shared" si="5"/>
        <v>-15</v>
      </c>
      <c r="T9" s="9">
        <v>1110.7</v>
      </c>
      <c r="U9" s="9">
        <v>1062.0999999999999</v>
      </c>
      <c r="V9" s="9">
        <f t="shared" si="6"/>
        <v>-48.600000000000136</v>
      </c>
      <c r="W9" s="9">
        <v>189</v>
      </c>
      <c r="X9" s="9">
        <v>173.9</v>
      </c>
      <c r="Y9" s="9">
        <f t="shared" si="7"/>
        <v>-15.099999999999994</v>
      </c>
      <c r="Z9" s="9">
        <v>1110.7</v>
      </c>
      <c r="AA9" s="9">
        <v>1062.5</v>
      </c>
      <c r="AB9" s="9">
        <f t="shared" si="8"/>
        <v>-48.200000000000045</v>
      </c>
      <c r="AC9" s="9">
        <v>189.1</v>
      </c>
      <c r="AD9" s="9">
        <v>174.5</v>
      </c>
      <c r="AE9" s="9">
        <f t="shared" si="9"/>
        <v>-14.599999999999994</v>
      </c>
      <c r="AF9" s="9">
        <v>1112.3</v>
      </c>
      <c r="AG9" s="9">
        <v>1063.2</v>
      </c>
      <c r="AH9" s="9">
        <f t="shared" si="10"/>
        <v>-49.099999999999909</v>
      </c>
      <c r="AI9" s="9">
        <v>189.8</v>
      </c>
      <c r="AJ9" s="9">
        <v>174.6</v>
      </c>
      <c r="AK9" s="9">
        <f t="shared" si="11"/>
        <v>-15.200000000000017</v>
      </c>
      <c r="AL9" s="9">
        <v>1117.8</v>
      </c>
      <c r="AM9" s="9">
        <v>1066.9000000000001</v>
      </c>
      <c r="AN9" s="9">
        <f t="shared" si="12"/>
        <v>-50.899999999999864</v>
      </c>
      <c r="AO9" s="9">
        <v>191.4</v>
      </c>
      <c r="AP9" s="9">
        <v>175.4</v>
      </c>
      <c r="AQ9" s="9">
        <f t="shared" si="13"/>
        <v>-16</v>
      </c>
    </row>
    <row r="10" spans="1:43" x14ac:dyDescent="0.25">
      <c r="A10" s="10">
        <v>9</v>
      </c>
      <c r="B10" s="9">
        <v>1109.4000000000001</v>
      </c>
      <c r="C10" s="9">
        <v>1065.7</v>
      </c>
      <c r="D10" s="9">
        <f t="shared" si="0"/>
        <v>-43.700000000000045</v>
      </c>
      <c r="E10" s="9">
        <v>187.4</v>
      </c>
      <c r="F10" s="9">
        <v>176.6</v>
      </c>
      <c r="G10" s="9">
        <f t="shared" si="1"/>
        <v>-10.800000000000011</v>
      </c>
      <c r="H10" s="9">
        <v>1121.9000000000001</v>
      </c>
      <c r="I10" s="9">
        <v>1073.0999999999999</v>
      </c>
      <c r="J10" s="9">
        <f t="shared" si="2"/>
        <v>-48.800000000000182</v>
      </c>
      <c r="K10" s="9">
        <v>202.6</v>
      </c>
      <c r="L10" s="9">
        <v>186.7</v>
      </c>
      <c r="M10" s="9">
        <f t="shared" si="3"/>
        <v>-15.900000000000006</v>
      </c>
      <c r="N10" s="9">
        <v>1110.2</v>
      </c>
      <c r="O10" s="9">
        <v>1063.9000000000001</v>
      </c>
      <c r="P10" s="9">
        <f t="shared" si="4"/>
        <v>-46.299999999999955</v>
      </c>
      <c r="Q10" s="9">
        <v>188</v>
      </c>
      <c r="R10" s="9">
        <v>175.1</v>
      </c>
      <c r="S10" s="9">
        <f t="shared" si="5"/>
        <v>-12.900000000000006</v>
      </c>
      <c r="T10" s="9">
        <v>1110.5999999999999</v>
      </c>
      <c r="U10" s="9">
        <v>1064.3</v>
      </c>
      <c r="V10" s="9">
        <f t="shared" si="6"/>
        <v>-46.299999999999955</v>
      </c>
      <c r="W10" s="9">
        <v>188.4</v>
      </c>
      <c r="X10" s="9">
        <v>175.6</v>
      </c>
      <c r="Y10" s="9">
        <f t="shared" si="7"/>
        <v>-12.800000000000011</v>
      </c>
      <c r="Z10" s="9">
        <v>1110.5999999999999</v>
      </c>
      <c r="AA10" s="9">
        <v>1064.4000000000001</v>
      </c>
      <c r="AB10" s="9">
        <f t="shared" si="8"/>
        <v>-46.199999999999818</v>
      </c>
      <c r="AC10" s="9">
        <v>188.4</v>
      </c>
      <c r="AD10" s="9">
        <v>175.7</v>
      </c>
      <c r="AE10" s="9">
        <f t="shared" si="9"/>
        <v>-12.700000000000017</v>
      </c>
      <c r="AF10" s="9">
        <v>1112</v>
      </c>
      <c r="AG10" s="9">
        <v>1065.0999999999999</v>
      </c>
      <c r="AH10" s="9">
        <f t="shared" si="10"/>
        <v>-46.900000000000091</v>
      </c>
      <c r="AI10" s="9">
        <v>188.8</v>
      </c>
      <c r="AJ10" s="9">
        <v>175.9</v>
      </c>
      <c r="AK10" s="9">
        <f t="shared" si="11"/>
        <v>-12.900000000000006</v>
      </c>
      <c r="AL10" s="9">
        <v>1117.3</v>
      </c>
      <c r="AM10" s="9">
        <v>1068.9000000000001</v>
      </c>
      <c r="AN10" s="9">
        <f t="shared" si="12"/>
        <v>-48.399999999999864</v>
      </c>
      <c r="AO10" s="9">
        <v>190</v>
      </c>
      <c r="AP10" s="9">
        <v>176.9</v>
      </c>
      <c r="AQ10" s="9">
        <f t="shared" si="13"/>
        <v>-13.099999999999994</v>
      </c>
    </row>
    <row r="11" spans="1:43" x14ac:dyDescent="0.25">
      <c r="A11" s="10">
        <v>10</v>
      </c>
      <c r="B11" s="9">
        <v>1109.7</v>
      </c>
      <c r="C11" s="9">
        <v>1066</v>
      </c>
      <c r="D11" s="9">
        <f t="shared" si="0"/>
        <v>-43.700000000000045</v>
      </c>
      <c r="E11" s="9">
        <v>187.4</v>
      </c>
      <c r="F11" s="9">
        <v>176.9</v>
      </c>
      <c r="G11" s="9">
        <f t="shared" si="1"/>
        <v>-10.5</v>
      </c>
      <c r="H11" s="9">
        <v>1123.9000000000001</v>
      </c>
      <c r="I11" s="9">
        <v>1076.0999999999999</v>
      </c>
      <c r="J11" s="9">
        <f t="shared" si="2"/>
        <v>-47.800000000000182</v>
      </c>
      <c r="K11" s="9">
        <v>204.2</v>
      </c>
      <c r="L11" s="9">
        <v>189.6</v>
      </c>
      <c r="M11" s="9">
        <f t="shared" si="3"/>
        <v>-14.599999999999994</v>
      </c>
      <c r="N11" s="9">
        <v>1110.0999999999999</v>
      </c>
      <c r="O11" s="9">
        <v>1064.5</v>
      </c>
      <c r="P11" s="9">
        <f t="shared" si="4"/>
        <v>-45.599999999999909</v>
      </c>
      <c r="Q11" s="9">
        <v>188.2</v>
      </c>
      <c r="R11" s="9">
        <v>175.7</v>
      </c>
      <c r="S11" s="9">
        <f t="shared" si="5"/>
        <v>-12.5</v>
      </c>
      <c r="T11" s="9">
        <v>1110.9000000000001</v>
      </c>
      <c r="U11" s="9">
        <v>1064.9000000000001</v>
      </c>
      <c r="V11" s="9">
        <f t="shared" si="6"/>
        <v>-46</v>
      </c>
      <c r="W11" s="9">
        <v>189</v>
      </c>
      <c r="X11" s="9">
        <v>176.1</v>
      </c>
      <c r="Y11" s="9">
        <f t="shared" si="7"/>
        <v>-12.900000000000006</v>
      </c>
      <c r="Z11" s="9">
        <v>1111</v>
      </c>
      <c r="AA11" s="9">
        <v>1064.9000000000001</v>
      </c>
      <c r="AB11" s="9">
        <f t="shared" si="8"/>
        <v>-46.099999999999909</v>
      </c>
      <c r="AC11" s="9">
        <v>189.1</v>
      </c>
      <c r="AD11" s="9">
        <v>176.1</v>
      </c>
      <c r="AE11" s="9">
        <f t="shared" si="9"/>
        <v>-13</v>
      </c>
      <c r="AF11" s="9">
        <v>1112.5999999999999</v>
      </c>
      <c r="AG11" s="9">
        <v>1065.5999999999999</v>
      </c>
      <c r="AH11" s="9">
        <f t="shared" si="10"/>
        <v>-47</v>
      </c>
      <c r="AI11" s="9">
        <v>189.5</v>
      </c>
      <c r="AJ11" s="9">
        <v>176.3</v>
      </c>
      <c r="AK11" s="9">
        <f t="shared" si="11"/>
        <v>-13.199999999999989</v>
      </c>
      <c r="AL11" s="9">
        <v>1118.0999999999999</v>
      </c>
      <c r="AM11" s="9">
        <v>1069.5999999999999</v>
      </c>
      <c r="AN11" s="9">
        <f t="shared" si="12"/>
        <v>-48.5</v>
      </c>
      <c r="AO11" s="9">
        <v>190.9</v>
      </c>
      <c r="AP11" s="9">
        <v>177.2</v>
      </c>
      <c r="AQ11" s="9">
        <f t="shared" si="13"/>
        <v>-13.700000000000017</v>
      </c>
    </row>
    <row r="12" spans="1:43" x14ac:dyDescent="0.25">
      <c r="A12" s="10">
        <v>11</v>
      </c>
      <c r="B12" s="9">
        <v>1110.0999999999999</v>
      </c>
      <c r="C12" s="9">
        <v>1061.8</v>
      </c>
      <c r="D12" s="9">
        <f t="shared" si="0"/>
        <v>-48.299999999999955</v>
      </c>
      <c r="E12" s="9">
        <v>187.7</v>
      </c>
      <c r="F12" s="9">
        <v>172.6</v>
      </c>
      <c r="G12" s="9">
        <f t="shared" si="1"/>
        <v>-15.099999999999994</v>
      </c>
      <c r="H12" s="9">
        <v>1120.4000000000001</v>
      </c>
      <c r="I12" s="9">
        <v>1073.8</v>
      </c>
      <c r="J12" s="9">
        <f t="shared" si="2"/>
        <v>-46.600000000000136</v>
      </c>
      <c r="K12" s="9">
        <v>200.9</v>
      </c>
      <c r="L12" s="9">
        <v>186.9</v>
      </c>
      <c r="M12" s="9">
        <f t="shared" si="3"/>
        <v>-14</v>
      </c>
      <c r="N12" s="9">
        <v>1109.7</v>
      </c>
      <c r="O12" s="9">
        <v>1066.8</v>
      </c>
      <c r="P12" s="9">
        <f t="shared" si="4"/>
        <v>-42.900000000000091</v>
      </c>
      <c r="Q12" s="9">
        <v>188.2</v>
      </c>
      <c r="R12" s="9">
        <v>178.5</v>
      </c>
      <c r="S12" s="9">
        <f t="shared" si="5"/>
        <v>-9.6999999999999886</v>
      </c>
      <c r="T12" s="9">
        <v>1110.4000000000001</v>
      </c>
      <c r="U12" s="9">
        <v>1067.9000000000001</v>
      </c>
      <c r="V12" s="9">
        <f t="shared" si="6"/>
        <v>-42.5</v>
      </c>
      <c r="W12" s="9">
        <v>188.8</v>
      </c>
      <c r="X12" s="9">
        <v>179.6</v>
      </c>
      <c r="Y12" s="9">
        <f t="shared" si="7"/>
        <v>-9.2000000000000171</v>
      </c>
      <c r="Z12" s="9">
        <v>1110.4000000000001</v>
      </c>
      <c r="AA12" s="9">
        <v>1068.2</v>
      </c>
      <c r="AB12" s="9">
        <f t="shared" si="8"/>
        <v>-42.200000000000045</v>
      </c>
      <c r="AC12" s="9">
        <v>188.8</v>
      </c>
      <c r="AD12" s="9">
        <v>179.9</v>
      </c>
      <c r="AE12" s="9">
        <f t="shared" si="9"/>
        <v>-8.9000000000000057</v>
      </c>
      <c r="AF12" s="9">
        <v>1112</v>
      </c>
      <c r="AG12" s="9">
        <v>1069.4000000000001</v>
      </c>
      <c r="AH12" s="9">
        <f t="shared" si="10"/>
        <v>-42.599999999999909</v>
      </c>
      <c r="AI12" s="9">
        <v>189.3</v>
      </c>
      <c r="AJ12" s="9">
        <v>180.4</v>
      </c>
      <c r="AK12" s="9">
        <f t="shared" si="11"/>
        <v>-8.9000000000000057</v>
      </c>
      <c r="AL12" s="9">
        <v>1117.5999999999999</v>
      </c>
      <c r="AM12" s="9">
        <v>1073.8</v>
      </c>
      <c r="AN12" s="9">
        <f t="shared" si="12"/>
        <v>-43.799999999999955</v>
      </c>
      <c r="AO12" s="9">
        <v>190.9</v>
      </c>
      <c r="AP12" s="9">
        <v>181.5</v>
      </c>
      <c r="AQ12" s="9">
        <f t="shared" si="13"/>
        <v>-9.4000000000000057</v>
      </c>
    </row>
    <row r="13" spans="1:43" x14ac:dyDescent="0.25">
      <c r="A13" s="10">
        <v>12</v>
      </c>
      <c r="B13" s="9">
        <v>1111.3</v>
      </c>
      <c r="C13" s="9">
        <v>1065.5999999999999</v>
      </c>
      <c r="D13" s="9">
        <f t="shared" si="0"/>
        <v>-45.700000000000045</v>
      </c>
      <c r="E13" s="9">
        <v>189.9</v>
      </c>
      <c r="F13" s="9">
        <v>176.8</v>
      </c>
      <c r="G13" s="9">
        <f t="shared" si="1"/>
        <v>-13.099999999999994</v>
      </c>
      <c r="H13" s="9">
        <v>1119.7</v>
      </c>
      <c r="I13" s="9">
        <v>1074.4000000000001</v>
      </c>
      <c r="J13" s="9">
        <f t="shared" si="2"/>
        <v>-45.299999999999955</v>
      </c>
      <c r="K13" s="9">
        <v>200.7</v>
      </c>
      <c r="L13" s="9">
        <v>188.5</v>
      </c>
      <c r="M13" s="9">
        <f t="shared" si="3"/>
        <v>-12.199999999999989</v>
      </c>
      <c r="N13" s="9">
        <v>1109.2</v>
      </c>
      <c r="O13" s="9">
        <v>1066</v>
      </c>
      <c r="P13" s="9">
        <f t="shared" si="4"/>
        <v>-43.200000000000045</v>
      </c>
      <c r="Q13" s="9">
        <v>186.9</v>
      </c>
      <c r="R13" s="9">
        <v>176.3</v>
      </c>
      <c r="S13" s="9">
        <f t="shared" si="5"/>
        <v>-10.599999999999994</v>
      </c>
      <c r="T13" s="9">
        <v>1109.9000000000001</v>
      </c>
      <c r="U13" s="9">
        <v>1066.8</v>
      </c>
      <c r="V13" s="9">
        <f t="shared" si="6"/>
        <v>-43.100000000000136</v>
      </c>
      <c r="W13" s="9">
        <v>187.7</v>
      </c>
      <c r="X13" s="9">
        <v>177</v>
      </c>
      <c r="Y13" s="9">
        <f t="shared" si="7"/>
        <v>-10.699999999999989</v>
      </c>
      <c r="Z13" s="9">
        <v>1110</v>
      </c>
      <c r="AA13" s="9">
        <v>1067.0999999999999</v>
      </c>
      <c r="AB13" s="9">
        <f t="shared" si="8"/>
        <v>-42.900000000000091</v>
      </c>
      <c r="AC13" s="9">
        <v>187.8</v>
      </c>
      <c r="AD13" s="9">
        <v>177.4</v>
      </c>
      <c r="AE13" s="9">
        <f t="shared" si="9"/>
        <v>-10.400000000000006</v>
      </c>
      <c r="AF13" s="9">
        <v>1111.5</v>
      </c>
      <c r="AG13" s="9">
        <v>1068.0999999999999</v>
      </c>
      <c r="AH13" s="9">
        <f t="shared" si="10"/>
        <v>-43.400000000000091</v>
      </c>
      <c r="AI13" s="9">
        <v>188.3</v>
      </c>
      <c r="AJ13" s="9">
        <v>177.7</v>
      </c>
      <c r="AK13" s="9">
        <f t="shared" si="11"/>
        <v>-10.600000000000023</v>
      </c>
      <c r="AL13" s="9">
        <v>1116.5</v>
      </c>
      <c r="AM13" s="9">
        <v>1072.4000000000001</v>
      </c>
      <c r="AN13" s="9">
        <f t="shared" si="12"/>
        <v>-44.099999999999909</v>
      </c>
      <c r="AO13" s="9">
        <v>189.5</v>
      </c>
      <c r="AP13" s="9">
        <v>178.8</v>
      </c>
      <c r="AQ13" s="9">
        <f t="shared" si="13"/>
        <v>-10.699999999999989</v>
      </c>
    </row>
    <row r="14" spans="1:43" x14ac:dyDescent="0.25">
      <c r="A14" s="10">
        <v>13</v>
      </c>
      <c r="B14" s="9">
        <v>1109.2</v>
      </c>
      <c r="C14" s="9">
        <v>1063.9000000000001</v>
      </c>
      <c r="D14" s="9">
        <f t="shared" si="0"/>
        <v>-45.299999999999955</v>
      </c>
      <c r="E14" s="9">
        <v>187</v>
      </c>
      <c r="F14" s="9">
        <v>175.3</v>
      </c>
      <c r="G14" s="9">
        <f t="shared" si="1"/>
        <v>-11.699999999999989</v>
      </c>
      <c r="H14" s="9">
        <v>1120.5999999999999</v>
      </c>
      <c r="I14" s="9">
        <v>1072</v>
      </c>
      <c r="J14" s="9">
        <f t="shared" si="2"/>
        <v>-48.599999999999909</v>
      </c>
      <c r="K14" s="9">
        <v>201.5</v>
      </c>
      <c r="L14" s="9">
        <v>186.3</v>
      </c>
      <c r="M14" s="9">
        <f t="shared" si="3"/>
        <v>-15.199999999999989</v>
      </c>
      <c r="N14" s="9">
        <v>1110.3</v>
      </c>
      <c r="O14" s="9">
        <v>1062.7</v>
      </c>
      <c r="P14" s="9">
        <f t="shared" si="4"/>
        <v>-47.599999999999909</v>
      </c>
      <c r="Q14" s="9">
        <v>187.1</v>
      </c>
      <c r="R14" s="9">
        <v>173.9</v>
      </c>
      <c r="S14" s="9">
        <f t="shared" si="5"/>
        <v>-13.199999999999989</v>
      </c>
      <c r="T14" s="9">
        <v>1111.2</v>
      </c>
      <c r="U14" s="9">
        <v>1063.0999999999999</v>
      </c>
      <c r="V14" s="9">
        <f t="shared" si="6"/>
        <v>-48.100000000000136</v>
      </c>
      <c r="W14" s="9">
        <v>188</v>
      </c>
      <c r="X14" s="9">
        <v>174.2</v>
      </c>
      <c r="Y14" s="9">
        <f t="shared" si="7"/>
        <v>-13.800000000000011</v>
      </c>
      <c r="Z14" s="9">
        <v>1111.3</v>
      </c>
      <c r="AA14" s="9">
        <v>1063.5</v>
      </c>
      <c r="AB14" s="9">
        <f t="shared" si="8"/>
        <v>-47.799999999999955</v>
      </c>
      <c r="AC14" s="9">
        <v>188.1</v>
      </c>
      <c r="AD14" s="9">
        <v>174.7</v>
      </c>
      <c r="AE14" s="9">
        <f t="shared" si="9"/>
        <v>-13.400000000000006</v>
      </c>
      <c r="AF14" s="9">
        <v>1113.0999999999999</v>
      </c>
      <c r="AG14" s="9">
        <v>1064.2</v>
      </c>
      <c r="AH14" s="9">
        <f t="shared" si="10"/>
        <v>-48.899999999999864</v>
      </c>
      <c r="AI14" s="9">
        <v>188.9</v>
      </c>
      <c r="AJ14" s="9">
        <v>174.9</v>
      </c>
      <c r="AK14" s="9">
        <f t="shared" si="11"/>
        <v>-14</v>
      </c>
      <c r="AL14" s="9">
        <v>1118.4000000000001</v>
      </c>
      <c r="AM14" s="9">
        <v>1067.9000000000001</v>
      </c>
      <c r="AN14" s="9">
        <f t="shared" si="12"/>
        <v>-50.5</v>
      </c>
      <c r="AO14" s="9">
        <v>190.3</v>
      </c>
      <c r="AP14" s="9">
        <v>175.6</v>
      </c>
      <c r="AQ14" s="9">
        <f t="shared" si="13"/>
        <v>-14.700000000000017</v>
      </c>
    </row>
    <row r="15" spans="1:43" x14ac:dyDescent="0.25">
      <c r="A15" s="10">
        <v>14</v>
      </c>
      <c r="B15" s="9">
        <v>1108.2</v>
      </c>
      <c r="C15" s="9">
        <v>1062.3</v>
      </c>
      <c r="D15" s="9">
        <f t="shared" si="0"/>
        <v>-45.900000000000091</v>
      </c>
      <c r="E15" s="9">
        <v>186.3</v>
      </c>
      <c r="F15" s="9">
        <v>174.1</v>
      </c>
      <c r="G15" s="9">
        <f t="shared" si="1"/>
        <v>-12.200000000000017</v>
      </c>
      <c r="H15" s="9">
        <v>1126.0999999999999</v>
      </c>
      <c r="I15" s="9">
        <v>1072.5999999999999</v>
      </c>
      <c r="J15" s="9">
        <f t="shared" si="2"/>
        <v>-53.5</v>
      </c>
      <c r="K15" s="9">
        <v>207.6</v>
      </c>
      <c r="L15" s="9">
        <v>186.8</v>
      </c>
      <c r="M15" s="9">
        <f t="shared" si="3"/>
        <v>-20.799999999999983</v>
      </c>
      <c r="N15" s="9">
        <v>1108.5</v>
      </c>
      <c r="O15" s="9">
        <v>1063.0999999999999</v>
      </c>
      <c r="P15" s="9">
        <f t="shared" si="4"/>
        <v>-45.400000000000091</v>
      </c>
      <c r="Q15" s="9">
        <v>186.8</v>
      </c>
      <c r="R15" s="9">
        <v>174.1</v>
      </c>
      <c r="S15" s="9">
        <f t="shared" si="5"/>
        <v>-12.700000000000017</v>
      </c>
      <c r="T15" s="9">
        <v>1109.5</v>
      </c>
      <c r="U15" s="9">
        <v>1063.8</v>
      </c>
      <c r="V15" s="9">
        <f t="shared" si="6"/>
        <v>-45.700000000000045</v>
      </c>
      <c r="W15" s="9">
        <v>187.8</v>
      </c>
      <c r="X15" s="9">
        <v>174.8</v>
      </c>
      <c r="Y15" s="9">
        <f t="shared" si="7"/>
        <v>-13</v>
      </c>
      <c r="Z15" s="9">
        <v>1109.5999999999999</v>
      </c>
      <c r="AA15" s="9">
        <v>1063.9000000000001</v>
      </c>
      <c r="AB15" s="9">
        <f t="shared" si="8"/>
        <v>-45.699999999999818</v>
      </c>
      <c r="AC15" s="9">
        <v>188.1</v>
      </c>
      <c r="AD15" s="9">
        <v>174.9</v>
      </c>
      <c r="AE15" s="9">
        <f t="shared" si="9"/>
        <v>-13.199999999999989</v>
      </c>
      <c r="AF15" s="9">
        <v>1111.4000000000001</v>
      </c>
      <c r="AG15" s="9">
        <v>1064.5999999999999</v>
      </c>
      <c r="AH15" s="9">
        <f t="shared" si="10"/>
        <v>-46.800000000000182</v>
      </c>
      <c r="AI15" s="9">
        <v>188.7</v>
      </c>
      <c r="AJ15" s="9">
        <v>175.2</v>
      </c>
      <c r="AK15" s="9">
        <f t="shared" si="11"/>
        <v>-13.5</v>
      </c>
      <c r="AL15" s="9">
        <v>1117.4000000000001</v>
      </c>
      <c r="AM15" s="9">
        <v>1068.4000000000001</v>
      </c>
      <c r="AN15" s="9">
        <f t="shared" si="12"/>
        <v>-49</v>
      </c>
      <c r="AO15" s="9">
        <v>190.7</v>
      </c>
      <c r="AP15" s="9">
        <v>176</v>
      </c>
      <c r="AQ15" s="9">
        <f t="shared" si="13"/>
        <v>-14.699999999999989</v>
      </c>
    </row>
    <row r="16" spans="1:43" x14ac:dyDescent="0.25">
      <c r="A16" s="10">
        <v>15</v>
      </c>
      <c r="B16" s="9">
        <v>1111.9000000000001</v>
      </c>
      <c r="C16" s="9">
        <v>1065.5</v>
      </c>
      <c r="D16" s="9">
        <f t="shared" si="0"/>
        <v>-46.400000000000091</v>
      </c>
      <c r="E16" s="9">
        <v>189.9</v>
      </c>
      <c r="F16" s="9">
        <v>176.9</v>
      </c>
      <c r="G16" s="9">
        <f t="shared" si="1"/>
        <v>-13</v>
      </c>
      <c r="H16" s="9">
        <v>1119.9000000000001</v>
      </c>
      <c r="I16" s="9">
        <v>1070.8</v>
      </c>
      <c r="J16" s="9">
        <f t="shared" si="2"/>
        <v>-49.100000000000136</v>
      </c>
      <c r="K16" s="9">
        <v>200.7</v>
      </c>
      <c r="L16" s="9">
        <v>185</v>
      </c>
      <c r="M16" s="9">
        <f t="shared" si="3"/>
        <v>-15.699999999999989</v>
      </c>
      <c r="N16" s="9">
        <v>1110.8</v>
      </c>
      <c r="O16" s="9">
        <v>1064.4000000000001</v>
      </c>
      <c r="P16" s="9">
        <f t="shared" si="4"/>
        <v>-46.399999999999864</v>
      </c>
      <c r="Q16" s="9">
        <v>188.2</v>
      </c>
      <c r="R16" s="9">
        <v>175.4</v>
      </c>
      <c r="S16" s="9">
        <f t="shared" si="5"/>
        <v>-12.799999999999983</v>
      </c>
      <c r="T16" s="9">
        <v>1111.7</v>
      </c>
      <c r="U16" s="9">
        <v>1064.9000000000001</v>
      </c>
      <c r="V16" s="9">
        <f t="shared" si="6"/>
        <v>-46.799999999999955</v>
      </c>
      <c r="W16" s="9">
        <v>189.2</v>
      </c>
      <c r="X16" s="9">
        <v>175.9</v>
      </c>
      <c r="Y16" s="9">
        <f t="shared" si="7"/>
        <v>-13.299999999999983</v>
      </c>
      <c r="Z16" s="9">
        <v>1112.0999999999999</v>
      </c>
      <c r="AA16" s="9">
        <v>1065</v>
      </c>
      <c r="AB16" s="9">
        <f t="shared" si="8"/>
        <v>-47.099999999999909</v>
      </c>
      <c r="AC16" s="9">
        <v>189.6</v>
      </c>
      <c r="AD16" s="9">
        <v>176</v>
      </c>
      <c r="AE16" s="9">
        <f t="shared" si="9"/>
        <v>-13.599999999999994</v>
      </c>
      <c r="AF16" s="9">
        <v>1113.8</v>
      </c>
      <c r="AG16" s="9">
        <v>1065.7</v>
      </c>
      <c r="AH16" s="9">
        <f t="shared" si="10"/>
        <v>-48.099999999999909</v>
      </c>
      <c r="AI16" s="9">
        <v>190.2</v>
      </c>
      <c r="AJ16" s="9">
        <v>176.2</v>
      </c>
      <c r="AK16" s="9">
        <f t="shared" si="11"/>
        <v>-14</v>
      </c>
      <c r="AL16" s="9">
        <v>1119.4000000000001</v>
      </c>
      <c r="AM16" s="9">
        <v>1069.5999999999999</v>
      </c>
      <c r="AN16" s="9">
        <f t="shared" si="12"/>
        <v>-49.800000000000182</v>
      </c>
      <c r="AO16" s="9">
        <v>191.6</v>
      </c>
      <c r="AP16" s="9">
        <v>177.1</v>
      </c>
      <c r="AQ16" s="9">
        <f t="shared" si="13"/>
        <v>-14.5</v>
      </c>
    </row>
    <row r="17" spans="1:43" x14ac:dyDescent="0.25">
      <c r="A17" s="10">
        <v>16</v>
      </c>
      <c r="B17" s="9">
        <v>1109.5999999999999</v>
      </c>
      <c r="C17" s="9">
        <v>1064.5999999999999</v>
      </c>
      <c r="D17" s="9">
        <f t="shared" si="0"/>
        <v>-45</v>
      </c>
      <c r="E17" s="9">
        <v>187.6</v>
      </c>
      <c r="F17" s="9">
        <v>175.2</v>
      </c>
      <c r="G17" s="9">
        <f t="shared" si="1"/>
        <v>-12.400000000000006</v>
      </c>
      <c r="H17" s="9">
        <v>1122</v>
      </c>
      <c r="I17" s="9">
        <v>1072.8</v>
      </c>
      <c r="J17" s="9">
        <f t="shared" si="2"/>
        <v>-49.200000000000045</v>
      </c>
      <c r="K17" s="9">
        <v>202.5</v>
      </c>
      <c r="L17" s="9">
        <v>185.5</v>
      </c>
      <c r="M17" s="9">
        <f t="shared" si="3"/>
        <v>-17</v>
      </c>
      <c r="N17" s="9">
        <v>1106.4000000000001</v>
      </c>
      <c r="O17" s="9">
        <v>1066</v>
      </c>
      <c r="P17" s="9">
        <f t="shared" si="4"/>
        <v>-40.400000000000091</v>
      </c>
      <c r="Q17" s="9">
        <v>184.7</v>
      </c>
      <c r="R17" s="9">
        <v>177.1</v>
      </c>
      <c r="S17" s="9">
        <f t="shared" si="5"/>
        <v>-7.5999999999999943</v>
      </c>
      <c r="T17" s="9">
        <v>1107.0999999999999</v>
      </c>
      <c r="U17" s="9">
        <v>1066.9000000000001</v>
      </c>
      <c r="V17" s="9">
        <f t="shared" si="6"/>
        <v>-40.199999999999818</v>
      </c>
      <c r="W17" s="9">
        <v>185.4</v>
      </c>
      <c r="X17" s="9">
        <v>178</v>
      </c>
      <c r="Y17" s="9">
        <f t="shared" si="7"/>
        <v>-7.4000000000000057</v>
      </c>
      <c r="Z17" s="9">
        <v>1107.8</v>
      </c>
      <c r="AA17" s="9">
        <v>1067.4000000000001</v>
      </c>
      <c r="AB17" s="9">
        <f t="shared" si="8"/>
        <v>-40.399999999999864</v>
      </c>
      <c r="AC17" s="9">
        <v>186.1</v>
      </c>
      <c r="AD17" s="9">
        <v>178.5</v>
      </c>
      <c r="AE17" s="9">
        <f t="shared" si="9"/>
        <v>-7.5999999999999943</v>
      </c>
      <c r="AF17" s="9">
        <v>1109.4000000000001</v>
      </c>
      <c r="AG17" s="9">
        <v>1068.7</v>
      </c>
      <c r="AH17" s="9">
        <f t="shared" si="10"/>
        <v>-40.700000000000045</v>
      </c>
      <c r="AI17" s="9">
        <v>186.7</v>
      </c>
      <c r="AJ17" s="9">
        <v>179</v>
      </c>
      <c r="AK17" s="9">
        <f t="shared" si="11"/>
        <v>-7.6999999999999886</v>
      </c>
      <c r="AL17" s="9">
        <v>1114.2</v>
      </c>
      <c r="AM17" s="9">
        <v>1073.4000000000001</v>
      </c>
      <c r="AN17" s="9">
        <f t="shared" si="12"/>
        <v>-40.799999999999955</v>
      </c>
      <c r="AO17" s="9">
        <v>187.8</v>
      </c>
      <c r="AP17" s="9">
        <v>180.4</v>
      </c>
      <c r="AQ17" s="9">
        <f t="shared" si="13"/>
        <v>-7.4000000000000057</v>
      </c>
    </row>
    <row r="18" spans="1:43" x14ac:dyDescent="0.25">
      <c r="A18" s="10">
        <v>17</v>
      </c>
      <c r="B18" s="9">
        <v>1109.5999999999999</v>
      </c>
      <c r="C18" s="9">
        <v>1064.7</v>
      </c>
      <c r="D18" s="9">
        <f t="shared" si="0"/>
        <v>-44.899999999999864</v>
      </c>
      <c r="E18" s="9">
        <v>187.3</v>
      </c>
      <c r="F18" s="9">
        <v>176.1</v>
      </c>
      <c r="G18" s="9">
        <f t="shared" si="1"/>
        <v>-11.200000000000017</v>
      </c>
      <c r="H18" s="9">
        <v>1127.4000000000001</v>
      </c>
      <c r="I18" s="9">
        <v>1073.8</v>
      </c>
      <c r="J18" s="9">
        <f t="shared" si="2"/>
        <v>-53.600000000000136</v>
      </c>
      <c r="K18" s="9">
        <v>207.8</v>
      </c>
      <c r="L18" s="9">
        <v>187.2</v>
      </c>
      <c r="M18" s="9">
        <f t="shared" si="3"/>
        <v>-20.600000000000023</v>
      </c>
      <c r="N18" s="9">
        <v>1109.3</v>
      </c>
      <c r="O18" s="9">
        <v>1062.0999999999999</v>
      </c>
      <c r="P18" s="9">
        <f t="shared" si="4"/>
        <v>-47.200000000000045</v>
      </c>
      <c r="Q18" s="9">
        <v>186.8</v>
      </c>
      <c r="R18" s="9">
        <v>173.6</v>
      </c>
      <c r="S18" s="9">
        <f t="shared" si="5"/>
        <v>-13.200000000000017</v>
      </c>
      <c r="T18" s="9">
        <v>1109.8</v>
      </c>
      <c r="U18" s="9">
        <v>1062.7</v>
      </c>
      <c r="V18" s="9">
        <f t="shared" si="6"/>
        <v>-47.099999999999909</v>
      </c>
      <c r="W18" s="9">
        <v>187.3</v>
      </c>
      <c r="X18" s="9">
        <v>174.1</v>
      </c>
      <c r="Y18" s="9">
        <f t="shared" si="7"/>
        <v>-13.200000000000017</v>
      </c>
      <c r="Z18" s="9">
        <v>1109.7</v>
      </c>
      <c r="AA18" s="9">
        <v>1062.7</v>
      </c>
      <c r="AB18" s="9">
        <f t="shared" si="8"/>
        <v>-47</v>
      </c>
      <c r="AC18" s="9">
        <v>187.2</v>
      </c>
      <c r="AD18" s="9">
        <v>174.2</v>
      </c>
      <c r="AE18" s="9">
        <f t="shared" si="9"/>
        <v>-13</v>
      </c>
      <c r="AF18" s="9">
        <v>1111.0999999999999</v>
      </c>
      <c r="AG18" s="9">
        <v>1063.4000000000001</v>
      </c>
      <c r="AH18" s="9">
        <f t="shared" si="10"/>
        <v>-47.699999999999818</v>
      </c>
      <c r="AI18" s="9">
        <v>187.7</v>
      </c>
      <c r="AJ18" s="9">
        <v>174.5</v>
      </c>
      <c r="AK18" s="9">
        <f t="shared" si="11"/>
        <v>-13.199999999999989</v>
      </c>
      <c r="AL18" s="9">
        <v>1115.9000000000001</v>
      </c>
      <c r="AM18" s="9">
        <v>1067.3</v>
      </c>
      <c r="AN18" s="9">
        <f t="shared" si="12"/>
        <v>-48.600000000000136</v>
      </c>
      <c r="AO18" s="9">
        <v>188.7</v>
      </c>
      <c r="AP18" s="9">
        <v>175.5</v>
      </c>
      <c r="AQ18" s="9">
        <f t="shared" si="13"/>
        <v>-13.199999999999989</v>
      </c>
    </row>
    <row r="19" spans="1:43" x14ac:dyDescent="0.25">
      <c r="A19" s="10">
        <v>18</v>
      </c>
      <c r="B19" s="9">
        <v>1111.9000000000001</v>
      </c>
      <c r="C19" s="9">
        <v>1064.9000000000001</v>
      </c>
      <c r="D19" s="9">
        <f t="shared" si="0"/>
        <v>-47</v>
      </c>
      <c r="E19" s="9">
        <v>189.1</v>
      </c>
      <c r="F19" s="9">
        <v>176.3</v>
      </c>
      <c r="G19" s="9">
        <f t="shared" si="1"/>
        <v>-12.799999999999983</v>
      </c>
      <c r="H19" s="9">
        <v>1121.5</v>
      </c>
      <c r="I19" s="9">
        <v>1072.3</v>
      </c>
      <c r="J19" s="9">
        <f t="shared" si="2"/>
        <v>-49.200000000000045</v>
      </c>
      <c r="K19" s="9">
        <v>202.7</v>
      </c>
      <c r="L19" s="9">
        <v>186.4</v>
      </c>
      <c r="M19" s="9">
        <f t="shared" si="3"/>
        <v>-16.299999999999983</v>
      </c>
      <c r="N19" s="9">
        <v>1110.0999999999999</v>
      </c>
      <c r="O19" s="9">
        <v>1067</v>
      </c>
      <c r="P19" s="9">
        <f t="shared" si="4"/>
        <v>-43.099999999999909</v>
      </c>
      <c r="Q19" s="9">
        <v>188.3</v>
      </c>
      <c r="R19" s="9">
        <v>177.8</v>
      </c>
      <c r="S19" s="9">
        <f t="shared" si="5"/>
        <v>-10.5</v>
      </c>
      <c r="T19" s="9">
        <v>1110.9000000000001</v>
      </c>
      <c r="U19" s="9">
        <v>1067.5999999999999</v>
      </c>
      <c r="V19" s="9">
        <f t="shared" si="6"/>
        <v>-43.300000000000182</v>
      </c>
      <c r="W19" s="9">
        <v>189.2</v>
      </c>
      <c r="X19" s="9">
        <v>178.5</v>
      </c>
      <c r="Y19" s="9">
        <f t="shared" si="7"/>
        <v>-10.699999999999989</v>
      </c>
      <c r="Z19" s="9">
        <v>1114.2</v>
      </c>
      <c r="AA19" s="9">
        <v>1067.9000000000001</v>
      </c>
      <c r="AB19" s="9">
        <f t="shared" si="8"/>
        <v>-46.299999999999955</v>
      </c>
      <c r="AC19" s="9">
        <v>192.6</v>
      </c>
      <c r="AD19" s="9">
        <v>178.7</v>
      </c>
      <c r="AE19" s="9">
        <f t="shared" si="9"/>
        <v>-13.900000000000006</v>
      </c>
      <c r="AF19" s="9">
        <v>1116.2</v>
      </c>
      <c r="AG19" s="9">
        <v>1068.9000000000001</v>
      </c>
      <c r="AH19" s="9">
        <f t="shared" si="10"/>
        <v>-47.299999999999955</v>
      </c>
      <c r="AI19" s="9">
        <v>193.4</v>
      </c>
      <c r="AJ19" s="9">
        <v>179.1</v>
      </c>
      <c r="AK19" s="9">
        <f t="shared" si="11"/>
        <v>-14.300000000000011</v>
      </c>
      <c r="AL19" s="9">
        <v>1121.5</v>
      </c>
      <c r="AM19" s="9">
        <v>1073.0999999999999</v>
      </c>
      <c r="AN19" s="9">
        <f t="shared" si="12"/>
        <v>-48.400000000000091</v>
      </c>
      <c r="AO19" s="9">
        <v>194.8</v>
      </c>
      <c r="AP19" s="9">
        <v>180.2</v>
      </c>
      <c r="AQ19" s="9">
        <f t="shared" si="13"/>
        <v>-14.600000000000023</v>
      </c>
    </row>
    <row r="20" spans="1:43" x14ac:dyDescent="0.25">
      <c r="A20" s="10">
        <v>19</v>
      </c>
      <c r="B20" s="9">
        <v>1107.9000000000001</v>
      </c>
      <c r="C20" s="9">
        <v>1064.0999999999999</v>
      </c>
      <c r="D20" s="9">
        <f t="shared" si="0"/>
        <v>-43.800000000000182</v>
      </c>
      <c r="E20" s="9">
        <v>186.4</v>
      </c>
      <c r="F20" s="9">
        <v>175.5</v>
      </c>
      <c r="G20" s="9">
        <f t="shared" si="1"/>
        <v>-10.900000000000006</v>
      </c>
      <c r="H20" s="9">
        <v>1122.7</v>
      </c>
      <c r="I20" s="9">
        <v>1073.7</v>
      </c>
      <c r="J20" s="9">
        <f t="shared" si="2"/>
        <v>-49</v>
      </c>
      <c r="K20" s="9">
        <v>204.1</v>
      </c>
      <c r="L20" s="9">
        <v>188.3</v>
      </c>
      <c r="M20" s="9">
        <f t="shared" si="3"/>
        <v>-15.799999999999983</v>
      </c>
      <c r="N20" s="9">
        <v>1109.4000000000001</v>
      </c>
      <c r="O20" s="9">
        <v>1064.5999999999999</v>
      </c>
      <c r="P20" s="9">
        <f t="shared" si="4"/>
        <v>-44.800000000000182</v>
      </c>
      <c r="Q20" s="9">
        <v>187</v>
      </c>
      <c r="R20" s="9">
        <v>175.8</v>
      </c>
      <c r="S20" s="9">
        <f t="shared" si="5"/>
        <v>-11.199999999999989</v>
      </c>
      <c r="T20" s="9">
        <v>1110</v>
      </c>
      <c r="U20" s="9">
        <v>1065.2</v>
      </c>
      <c r="V20" s="9">
        <f t="shared" si="6"/>
        <v>-44.799999999999955</v>
      </c>
      <c r="W20" s="9">
        <v>187.6</v>
      </c>
      <c r="X20" s="9">
        <v>176.3</v>
      </c>
      <c r="Y20" s="9">
        <f t="shared" si="7"/>
        <v>-11.299999999999983</v>
      </c>
      <c r="Z20" s="9">
        <v>1110.0999999999999</v>
      </c>
      <c r="AA20" s="9">
        <v>1065.3</v>
      </c>
      <c r="AB20" s="9">
        <f t="shared" si="8"/>
        <v>-44.799999999999955</v>
      </c>
      <c r="AC20" s="9">
        <v>187.7</v>
      </c>
      <c r="AD20" s="9">
        <v>176.6</v>
      </c>
      <c r="AE20" s="9">
        <f t="shared" si="9"/>
        <v>-11.099999999999994</v>
      </c>
      <c r="AF20" s="9">
        <v>1111.5</v>
      </c>
      <c r="AG20" s="9">
        <v>1066.0999999999999</v>
      </c>
      <c r="AH20" s="9">
        <f t="shared" si="10"/>
        <v>-45.400000000000091</v>
      </c>
      <c r="AI20" s="9">
        <v>188.2</v>
      </c>
      <c r="AJ20" s="9">
        <v>176.8</v>
      </c>
      <c r="AK20" s="9">
        <f t="shared" si="11"/>
        <v>-11.399999999999977</v>
      </c>
      <c r="AL20" s="9">
        <v>1116.9000000000001</v>
      </c>
      <c r="AM20" s="9">
        <v>1070</v>
      </c>
      <c r="AN20" s="9">
        <f t="shared" si="12"/>
        <v>-46.900000000000091</v>
      </c>
      <c r="AO20" s="9">
        <v>189.8</v>
      </c>
      <c r="AP20" s="9">
        <v>177.7</v>
      </c>
      <c r="AQ20" s="9">
        <f t="shared" si="13"/>
        <v>-12.100000000000023</v>
      </c>
    </row>
    <row r="21" spans="1:43" x14ac:dyDescent="0.25">
      <c r="A21" s="10">
        <v>20</v>
      </c>
      <c r="B21" s="9">
        <v>1109.8</v>
      </c>
      <c r="C21" s="9">
        <v>1066.5999999999999</v>
      </c>
      <c r="D21" s="9">
        <f t="shared" si="0"/>
        <v>-43.200000000000045</v>
      </c>
      <c r="E21" s="9">
        <v>186.9</v>
      </c>
      <c r="F21" s="9">
        <v>178.1</v>
      </c>
      <c r="G21" s="9">
        <f t="shared" si="1"/>
        <v>-8.8000000000000114</v>
      </c>
      <c r="H21" s="9">
        <v>1120</v>
      </c>
      <c r="I21" s="9">
        <v>1074.0999999999999</v>
      </c>
      <c r="J21" s="9">
        <f t="shared" si="2"/>
        <v>-45.900000000000091</v>
      </c>
      <c r="K21" s="9">
        <v>200.3</v>
      </c>
      <c r="L21" s="9">
        <v>188.2</v>
      </c>
      <c r="M21" s="9">
        <f t="shared" si="3"/>
        <v>-12.100000000000023</v>
      </c>
      <c r="N21" s="9">
        <v>1111.9000000000001</v>
      </c>
      <c r="O21" s="9">
        <v>1065.5</v>
      </c>
      <c r="P21" s="9">
        <f t="shared" si="4"/>
        <v>-46.400000000000091</v>
      </c>
      <c r="Q21" s="9">
        <v>189.3</v>
      </c>
      <c r="R21" s="9">
        <v>176</v>
      </c>
      <c r="S21" s="9">
        <f t="shared" si="5"/>
        <v>-13.300000000000011</v>
      </c>
      <c r="T21" s="9">
        <v>1112.7</v>
      </c>
      <c r="U21" s="9">
        <v>1066.0999999999999</v>
      </c>
      <c r="V21" s="9">
        <f t="shared" si="6"/>
        <v>-46.600000000000136</v>
      </c>
      <c r="W21" s="9">
        <v>190</v>
      </c>
      <c r="X21" s="9">
        <v>176.6</v>
      </c>
      <c r="Y21" s="9">
        <f t="shared" si="7"/>
        <v>-13.400000000000006</v>
      </c>
      <c r="Z21" s="9">
        <v>1112.7</v>
      </c>
      <c r="AA21" s="9">
        <v>1066.0999999999999</v>
      </c>
      <c r="AB21" s="9">
        <f t="shared" si="8"/>
        <v>-46.600000000000136</v>
      </c>
      <c r="AC21" s="9">
        <v>190.1</v>
      </c>
      <c r="AD21" s="9">
        <v>176.6</v>
      </c>
      <c r="AE21" s="9">
        <f t="shared" si="9"/>
        <v>-13.5</v>
      </c>
      <c r="AF21" s="9">
        <v>1114.4000000000001</v>
      </c>
      <c r="AG21" s="9">
        <v>1066.8</v>
      </c>
      <c r="AH21" s="9">
        <f t="shared" si="10"/>
        <v>-47.600000000000136</v>
      </c>
      <c r="AI21" s="9">
        <v>190.6</v>
      </c>
      <c r="AJ21" s="9">
        <v>176.9</v>
      </c>
      <c r="AK21" s="9">
        <f t="shared" si="11"/>
        <v>-13.699999999999989</v>
      </c>
      <c r="AL21" s="9">
        <v>1120.3</v>
      </c>
      <c r="AM21" s="9">
        <v>1070.7</v>
      </c>
      <c r="AN21" s="9">
        <f t="shared" si="12"/>
        <v>-49.599999999999909</v>
      </c>
      <c r="AO21" s="9">
        <v>192.4</v>
      </c>
      <c r="AP21" s="9">
        <v>177.8</v>
      </c>
      <c r="AQ21" s="9">
        <f t="shared" si="13"/>
        <v>-14.599999999999994</v>
      </c>
    </row>
    <row r="22" spans="1:43" x14ac:dyDescent="0.25">
      <c r="A22" s="10">
        <v>21</v>
      </c>
      <c r="B22" s="9">
        <v>1111.0999999999999</v>
      </c>
      <c r="C22" s="9">
        <v>1065.5999999999999</v>
      </c>
      <c r="D22" s="9">
        <f t="shared" si="0"/>
        <v>-45.5</v>
      </c>
      <c r="E22" s="9">
        <v>189</v>
      </c>
      <c r="F22" s="9">
        <v>176.7</v>
      </c>
      <c r="G22" s="9">
        <f t="shared" si="1"/>
        <v>-12.300000000000011</v>
      </c>
      <c r="H22" s="9">
        <v>1120.5999999999999</v>
      </c>
      <c r="I22" s="9">
        <v>1076.4000000000001</v>
      </c>
      <c r="J22" s="9">
        <f t="shared" si="2"/>
        <v>-44.199999999999818</v>
      </c>
      <c r="K22" s="9">
        <v>201.5</v>
      </c>
      <c r="L22" s="9">
        <v>190.2</v>
      </c>
      <c r="M22" s="9">
        <f t="shared" si="3"/>
        <v>-11.300000000000011</v>
      </c>
      <c r="N22" s="9">
        <v>1109.5999999999999</v>
      </c>
      <c r="O22" s="9">
        <v>1063.8</v>
      </c>
      <c r="P22" s="9">
        <f t="shared" si="4"/>
        <v>-45.799999999999955</v>
      </c>
      <c r="Q22" s="9">
        <v>186.5</v>
      </c>
      <c r="R22" s="9">
        <v>174.3</v>
      </c>
      <c r="S22" s="9">
        <f t="shared" si="5"/>
        <v>-12.199999999999989</v>
      </c>
      <c r="T22" s="9">
        <v>1110.5</v>
      </c>
      <c r="U22" s="9">
        <v>1064.3</v>
      </c>
      <c r="V22" s="9">
        <f t="shared" si="6"/>
        <v>-46.200000000000045</v>
      </c>
      <c r="W22" s="9">
        <v>187.4</v>
      </c>
      <c r="X22" s="9">
        <v>174.8</v>
      </c>
      <c r="Y22" s="9">
        <f t="shared" si="7"/>
        <v>-12.599999999999994</v>
      </c>
      <c r="Z22" s="9">
        <v>1110.9000000000001</v>
      </c>
      <c r="AA22" s="9">
        <v>1064.5999999999999</v>
      </c>
      <c r="AB22" s="9">
        <f t="shared" si="8"/>
        <v>-46.300000000000182</v>
      </c>
      <c r="AC22" s="9">
        <v>187.8</v>
      </c>
      <c r="AD22" s="9">
        <v>175</v>
      </c>
      <c r="AE22" s="9">
        <f t="shared" si="9"/>
        <v>-12.800000000000011</v>
      </c>
      <c r="AF22" s="9">
        <v>1112.4000000000001</v>
      </c>
      <c r="AG22" s="9">
        <v>1065.2</v>
      </c>
      <c r="AH22" s="9">
        <f t="shared" si="10"/>
        <v>-47.200000000000045</v>
      </c>
      <c r="AI22" s="9">
        <v>188.4</v>
      </c>
      <c r="AJ22" s="9">
        <v>175.2</v>
      </c>
      <c r="AK22" s="9">
        <f t="shared" si="11"/>
        <v>-13.200000000000017</v>
      </c>
      <c r="AL22" s="9">
        <v>1117.5999999999999</v>
      </c>
      <c r="AM22" s="9">
        <v>1069.0999999999999</v>
      </c>
      <c r="AN22" s="9">
        <f t="shared" si="12"/>
        <v>-48.5</v>
      </c>
      <c r="AO22" s="9">
        <v>189.8</v>
      </c>
      <c r="AP22" s="9">
        <v>176.3</v>
      </c>
      <c r="AQ22" s="9">
        <f t="shared" si="13"/>
        <v>-13.5</v>
      </c>
    </row>
    <row r="23" spans="1:43" x14ac:dyDescent="0.25">
      <c r="A23" s="10">
        <v>22</v>
      </c>
      <c r="B23" s="9">
        <v>1114.9000000000001</v>
      </c>
      <c r="C23" s="9">
        <v>1067.5999999999999</v>
      </c>
      <c r="D23" s="9">
        <f t="shared" si="0"/>
        <v>-47.300000000000182</v>
      </c>
      <c r="E23" s="9">
        <v>192.6</v>
      </c>
      <c r="F23" s="9">
        <v>178.7</v>
      </c>
      <c r="G23" s="9">
        <f t="shared" si="1"/>
        <v>-13.900000000000006</v>
      </c>
      <c r="H23" s="9">
        <v>1124.0999999999999</v>
      </c>
      <c r="I23" s="9">
        <v>1071.8</v>
      </c>
      <c r="J23" s="9">
        <f t="shared" si="2"/>
        <v>-52.299999999999955</v>
      </c>
      <c r="K23" s="9">
        <v>204.2</v>
      </c>
      <c r="L23" s="9">
        <v>185.9</v>
      </c>
      <c r="M23" s="9">
        <f t="shared" si="3"/>
        <v>-18.299999999999983</v>
      </c>
      <c r="N23" s="9">
        <v>1109.8</v>
      </c>
      <c r="O23" s="9">
        <v>1063.0999999999999</v>
      </c>
      <c r="P23" s="9">
        <f t="shared" si="4"/>
        <v>-46.700000000000045</v>
      </c>
      <c r="Q23" s="9">
        <v>187.2</v>
      </c>
      <c r="R23" s="9">
        <v>173.7</v>
      </c>
      <c r="S23" s="9">
        <f t="shared" si="5"/>
        <v>-13.5</v>
      </c>
      <c r="T23" s="9">
        <v>1110.8</v>
      </c>
      <c r="U23" s="9">
        <v>1063.4000000000001</v>
      </c>
      <c r="V23" s="9">
        <f t="shared" si="6"/>
        <v>-47.399999999999864</v>
      </c>
      <c r="W23" s="9">
        <v>188.2</v>
      </c>
      <c r="X23" s="9">
        <v>174</v>
      </c>
      <c r="Y23" s="9">
        <f t="shared" si="7"/>
        <v>-14.199999999999989</v>
      </c>
      <c r="Z23" s="9">
        <v>1110.8</v>
      </c>
      <c r="AA23" s="9">
        <v>1063.4000000000001</v>
      </c>
      <c r="AB23" s="9">
        <f t="shared" si="8"/>
        <v>-47.399999999999864</v>
      </c>
      <c r="AC23" s="9">
        <v>188.2</v>
      </c>
      <c r="AD23" s="9">
        <v>174</v>
      </c>
      <c r="AE23" s="9">
        <f t="shared" si="9"/>
        <v>-14.199999999999989</v>
      </c>
      <c r="AF23" s="9">
        <v>1112.4000000000001</v>
      </c>
      <c r="AG23" s="9">
        <v>1064.0999999999999</v>
      </c>
      <c r="AH23" s="9">
        <f t="shared" si="10"/>
        <v>-48.300000000000182</v>
      </c>
      <c r="AI23" s="9">
        <v>188.7</v>
      </c>
      <c r="AJ23" s="9">
        <v>174.2</v>
      </c>
      <c r="AK23" s="9">
        <f t="shared" si="11"/>
        <v>-14.5</v>
      </c>
      <c r="AL23" s="9">
        <v>1118</v>
      </c>
      <c r="AM23" s="9">
        <v>1067.5</v>
      </c>
      <c r="AN23" s="9">
        <f t="shared" si="12"/>
        <v>-50.5</v>
      </c>
      <c r="AO23" s="9">
        <v>190.4</v>
      </c>
      <c r="AP23" s="9">
        <v>174.8</v>
      </c>
      <c r="AQ23" s="9">
        <f t="shared" si="13"/>
        <v>-15.599999999999994</v>
      </c>
    </row>
    <row r="24" spans="1:43" x14ac:dyDescent="0.25">
      <c r="A24" s="10">
        <v>23</v>
      </c>
      <c r="B24" s="9">
        <v>1110.9000000000001</v>
      </c>
      <c r="C24" s="9">
        <v>1066.7</v>
      </c>
      <c r="D24" s="9">
        <f t="shared" si="0"/>
        <v>-44.200000000000045</v>
      </c>
      <c r="E24" s="9">
        <v>189.2</v>
      </c>
      <c r="F24" s="9">
        <v>177.3</v>
      </c>
      <c r="G24" s="9">
        <f t="shared" si="1"/>
        <v>-11.899999999999977</v>
      </c>
      <c r="H24" s="9">
        <v>1120.9000000000001</v>
      </c>
      <c r="I24" s="9">
        <v>1074.4000000000001</v>
      </c>
      <c r="J24" s="9">
        <f t="shared" si="2"/>
        <v>-46.5</v>
      </c>
      <c r="K24" s="9">
        <v>202.3</v>
      </c>
      <c r="L24" s="9">
        <v>188.8</v>
      </c>
      <c r="M24" s="9">
        <f t="shared" si="3"/>
        <v>-13.5</v>
      </c>
      <c r="N24" s="9">
        <v>1108.4000000000001</v>
      </c>
      <c r="O24" s="9">
        <v>1066.3</v>
      </c>
      <c r="P24" s="9">
        <f t="shared" si="4"/>
        <v>-42.100000000000136</v>
      </c>
      <c r="Q24" s="9">
        <v>186.1</v>
      </c>
      <c r="R24" s="9">
        <v>177.5</v>
      </c>
      <c r="S24" s="9">
        <f t="shared" si="5"/>
        <v>-8.5999999999999943</v>
      </c>
      <c r="T24" s="9">
        <v>1109.3</v>
      </c>
      <c r="U24" s="9">
        <v>1067.0999999999999</v>
      </c>
      <c r="V24" s="9">
        <f t="shared" si="6"/>
        <v>-42.200000000000045</v>
      </c>
      <c r="W24" s="9">
        <v>187</v>
      </c>
      <c r="X24" s="9">
        <v>178.3</v>
      </c>
      <c r="Y24" s="9">
        <f t="shared" si="7"/>
        <v>-8.6999999999999886</v>
      </c>
      <c r="Z24" s="9">
        <v>1109.3</v>
      </c>
      <c r="AA24" s="9">
        <v>1067.3</v>
      </c>
      <c r="AB24" s="9">
        <f t="shared" si="8"/>
        <v>-42</v>
      </c>
      <c r="AC24" s="9">
        <v>187</v>
      </c>
      <c r="AD24" s="9">
        <v>178.6</v>
      </c>
      <c r="AE24" s="9">
        <f t="shared" si="9"/>
        <v>-8.4000000000000057</v>
      </c>
      <c r="AF24" s="9">
        <v>1110.8</v>
      </c>
      <c r="AG24" s="9">
        <v>1068.2</v>
      </c>
      <c r="AH24" s="9">
        <f t="shared" si="10"/>
        <v>-42.599999999999909</v>
      </c>
      <c r="AI24" s="9">
        <v>187.5</v>
      </c>
      <c r="AJ24" s="9">
        <v>178.8</v>
      </c>
      <c r="AK24" s="9">
        <f t="shared" si="11"/>
        <v>-8.6999999999999886</v>
      </c>
      <c r="AL24" s="9">
        <v>1116.5</v>
      </c>
      <c r="AM24" s="9">
        <v>1072.3</v>
      </c>
      <c r="AN24" s="9">
        <f t="shared" si="12"/>
        <v>-44.200000000000045</v>
      </c>
      <c r="AO24" s="9">
        <v>189.3</v>
      </c>
      <c r="AP24" s="9">
        <v>179.7</v>
      </c>
      <c r="AQ24" s="9">
        <f t="shared" si="13"/>
        <v>-9.6000000000000227</v>
      </c>
    </row>
    <row r="25" spans="1:43" x14ac:dyDescent="0.25">
      <c r="A25" s="10">
        <v>24</v>
      </c>
      <c r="B25" s="9">
        <v>1111</v>
      </c>
      <c r="C25" s="9">
        <v>1065.9000000000001</v>
      </c>
      <c r="D25" s="9">
        <f t="shared" si="0"/>
        <v>-45.099999999999909</v>
      </c>
      <c r="E25" s="9">
        <v>188.4</v>
      </c>
      <c r="F25" s="9">
        <v>176.2</v>
      </c>
      <c r="G25" s="9">
        <f t="shared" si="1"/>
        <v>-12.200000000000017</v>
      </c>
      <c r="H25" s="9">
        <v>1117.3</v>
      </c>
      <c r="I25" s="9">
        <v>1074.3</v>
      </c>
      <c r="J25" s="9">
        <f t="shared" si="2"/>
        <v>-43</v>
      </c>
      <c r="K25" s="9">
        <v>198.6</v>
      </c>
      <c r="L25" s="9">
        <v>188.5</v>
      </c>
      <c r="M25" s="9">
        <f t="shared" si="3"/>
        <v>-10.099999999999994</v>
      </c>
      <c r="N25" s="9">
        <v>1107.7</v>
      </c>
      <c r="O25" s="9">
        <v>1067.5999999999999</v>
      </c>
      <c r="P25" s="9">
        <f t="shared" si="4"/>
        <v>-40.100000000000136</v>
      </c>
      <c r="Q25" s="9">
        <v>185.6</v>
      </c>
      <c r="R25" s="9">
        <v>178.4</v>
      </c>
      <c r="S25" s="9">
        <f t="shared" si="5"/>
        <v>-7.1999999999999886</v>
      </c>
      <c r="T25" s="9">
        <v>1108.4000000000001</v>
      </c>
      <c r="U25" s="9">
        <v>1068.8</v>
      </c>
      <c r="V25" s="9">
        <f t="shared" si="6"/>
        <v>-39.600000000000136</v>
      </c>
      <c r="W25" s="9">
        <v>186.3</v>
      </c>
      <c r="X25" s="9">
        <v>179.5</v>
      </c>
      <c r="Y25" s="9">
        <f t="shared" si="7"/>
        <v>-6.8000000000000114</v>
      </c>
      <c r="Z25" s="9">
        <v>1108.5</v>
      </c>
      <c r="AA25" s="9">
        <v>1070</v>
      </c>
      <c r="AB25" s="9">
        <f t="shared" si="8"/>
        <v>-38.5</v>
      </c>
      <c r="AC25" s="9">
        <v>186.4</v>
      </c>
      <c r="AD25" s="9">
        <v>180.8</v>
      </c>
      <c r="AE25" s="9">
        <f t="shared" si="9"/>
        <v>-5.5999999999999943</v>
      </c>
      <c r="AF25" s="9">
        <v>1110.2</v>
      </c>
      <c r="AG25" s="9">
        <v>1071</v>
      </c>
      <c r="AH25" s="9">
        <f t="shared" si="10"/>
        <v>-39.200000000000045</v>
      </c>
      <c r="AI25" s="9">
        <v>187.1</v>
      </c>
      <c r="AJ25" s="9">
        <v>181.2</v>
      </c>
      <c r="AK25" s="9">
        <f t="shared" si="11"/>
        <v>-5.9000000000000057</v>
      </c>
      <c r="AL25" s="9">
        <v>1115.0999999999999</v>
      </c>
      <c r="AM25" s="9">
        <v>1075.4000000000001</v>
      </c>
      <c r="AN25" s="9">
        <f t="shared" si="12"/>
        <v>-39.699999999999818</v>
      </c>
      <c r="AO25" s="9">
        <v>188.2</v>
      </c>
      <c r="AP25" s="9">
        <v>182.2</v>
      </c>
      <c r="AQ25" s="9">
        <f t="shared" si="13"/>
        <v>-6</v>
      </c>
    </row>
    <row r="26" spans="1:43" x14ac:dyDescent="0.25">
      <c r="A26" s="10">
        <v>25</v>
      </c>
      <c r="B26" s="9">
        <v>1107.8</v>
      </c>
      <c r="C26" s="9">
        <v>1063.2</v>
      </c>
      <c r="D26" s="9">
        <f t="shared" si="0"/>
        <v>-44.599999999999909</v>
      </c>
      <c r="E26" s="9">
        <v>185.4</v>
      </c>
      <c r="F26" s="9">
        <v>174.3</v>
      </c>
      <c r="G26" s="9">
        <f t="shared" si="1"/>
        <v>-11.099999999999994</v>
      </c>
      <c r="H26" s="9">
        <v>1123.2</v>
      </c>
      <c r="I26" s="9">
        <v>1071.3</v>
      </c>
      <c r="J26" s="9">
        <f t="shared" si="2"/>
        <v>-51.900000000000091</v>
      </c>
      <c r="K26" s="9">
        <v>203.8</v>
      </c>
      <c r="L26" s="9">
        <v>185.6</v>
      </c>
      <c r="M26" s="9">
        <f t="shared" si="3"/>
        <v>-18.200000000000017</v>
      </c>
      <c r="N26" s="9">
        <v>1107.8</v>
      </c>
      <c r="O26" s="9">
        <v>1061.8</v>
      </c>
      <c r="P26" s="9">
        <f t="shared" si="4"/>
        <v>-46</v>
      </c>
      <c r="Q26" s="9">
        <v>185.7</v>
      </c>
      <c r="R26" s="9">
        <v>172.9</v>
      </c>
      <c r="S26" s="9">
        <f t="shared" si="5"/>
        <v>-12.799999999999983</v>
      </c>
      <c r="T26" s="9">
        <v>1108.3</v>
      </c>
      <c r="U26" s="9">
        <v>1062.3</v>
      </c>
      <c r="V26" s="9">
        <f t="shared" si="6"/>
        <v>-46</v>
      </c>
      <c r="W26" s="9">
        <v>186.3</v>
      </c>
      <c r="X26" s="9">
        <v>173.4</v>
      </c>
      <c r="Y26" s="9">
        <f t="shared" si="7"/>
        <v>-12.900000000000006</v>
      </c>
      <c r="Z26" s="9">
        <v>1108.3</v>
      </c>
      <c r="AA26" s="9">
        <v>1062.5999999999999</v>
      </c>
      <c r="AB26" s="9">
        <f t="shared" si="8"/>
        <v>-45.700000000000045</v>
      </c>
      <c r="AC26" s="9">
        <v>186.3</v>
      </c>
      <c r="AD26" s="9">
        <v>173.6</v>
      </c>
      <c r="AE26" s="9">
        <f t="shared" si="9"/>
        <v>-12.700000000000017</v>
      </c>
      <c r="AF26" s="9">
        <v>1109.9000000000001</v>
      </c>
      <c r="AG26" s="9">
        <v>1063.4000000000001</v>
      </c>
      <c r="AH26" s="9">
        <f t="shared" si="10"/>
        <v>-46.5</v>
      </c>
      <c r="AI26" s="9">
        <v>187</v>
      </c>
      <c r="AJ26" s="9">
        <v>174</v>
      </c>
      <c r="AK26" s="9">
        <f t="shared" si="11"/>
        <v>-13</v>
      </c>
      <c r="AL26" s="9">
        <v>1115.0999999999999</v>
      </c>
      <c r="AM26" s="9">
        <v>1067.3</v>
      </c>
      <c r="AN26" s="9">
        <f t="shared" si="12"/>
        <v>-47.799999999999955</v>
      </c>
      <c r="AO26" s="9">
        <v>188.3</v>
      </c>
      <c r="AP26" s="9">
        <v>175.1</v>
      </c>
      <c r="AQ26" s="9">
        <f t="shared" si="13"/>
        <v>-13.200000000000017</v>
      </c>
    </row>
    <row r="27" spans="1:43" x14ac:dyDescent="0.25">
      <c r="A27" s="10">
        <v>26</v>
      </c>
      <c r="B27" s="9">
        <v>1110.2</v>
      </c>
      <c r="C27" s="9">
        <v>1062.5</v>
      </c>
      <c r="D27" s="9">
        <f t="shared" si="0"/>
        <v>-47.700000000000045</v>
      </c>
      <c r="E27" s="9">
        <v>188</v>
      </c>
      <c r="F27" s="9">
        <v>173.7</v>
      </c>
      <c r="G27" s="9">
        <f t="shared" si="1"/>
        <v>-14.300000000000011</v>
      </c>
      <c r="H27" s="9">
        <v>1124.5</v>
      </c>
      <c r="I27" s="9">
        <v>1076.2</v>
      </c>
      <c r="J27" s="9">
        <f t="shared" si="2"/>
        <v>-48.299999999999955</v>
      </c>
      <c r="K27" s="9">
        <v>204.5</v>
      </c>
      <c r="L27" s="9">
        <v>189.8</v>
      </c>
      <c r="M27" s="9">
        <f t="shared" si="3"/>
        <v>-14.699999999999989</v>
      </c>
      <c r="N27" s="9">
        <v>1110.8</v>
      </c>
      <c r="O27" s="9">
        <v>1066.4000000000001</v>
      </c>
      <c r="P27" s="9">
        <f t="shared" si="4"/>
        <v>-44.399999999999864</v>
      </c>
      <c r="Q27" s="9">
        <v>188</v>
      </c>
      <c r="R27" s="9">
        <v>177.3</v>
      </c>
      <c r="S27" s="9">
        <f t="shared" si="5"/>
        <v>-10.699999999999989</v>
      </c>
      <c r="T27" s="9">
        <v>1111.4000000000001</v>
      </c>
      <c r="U27" s="9">
        <v>1066.9000000000001</v>
      </c>
      <c r="V27" s="9">
        <f t="shared" si="6"/>
        <v>-44.5</v>
      </c>
      <c r="W27" s="9">
        <v>188.8</v>
      </c>
      <c r="X27" s="9">
        <v>177.7</v>
      </c>
      <c r="Y27" s="9">
        <f t="shared" si="7"/>
        <v>-11.100000000000023</v>
      </c>
      <c r="Z27" s="9">
        <v>1112</v>
      </c>
      <c r="AA27" s="9">
        <v>1066.9000000000001</v>
      </c>
      <c r="AB27" s="9">
        <f t="shared" si="8"/>
        <v>-45.099999999999909</v>
      </c>
      <c r="AC27" s="9">
        <v>189.2</v>
      </c>
      <c r="AD27" s="9">
        <v>177.8</v>
      </c>
      <c r="AE27" s="9">
        <f t="shared" si="9"/>
        <v>-11.399999999999977</v>
      </c>
      <c r="AF27" s="9">
        <v>1113.9000000000001</v>
      </c>
      <c r="AG27" s="9">
        <v>1067.7</v>
      </c>
      <c r="AH27" s="9">
        <f t="shared" si="10"/>
        <v>-46.200000000000045</v>
      </c>
      <c r="AI27" s="9">
        <v>190</v>
      </c>
      <c r="AJ27" s="9">
        <v>178</v>
      </c>
      <c r="AK27" s="9">
        <f t="shared" si="11"/>
        <v>-12</v>
      </c>
      <c r="AL27" s="9">
        <v>1119.5999999999999</v>
      </c>
      <c r="AM27" s="9">
        <v>1072</v>
      </c>
      <c r="AN27" s="9">
        <f t="shared" si="12"/>
        <v>-47.599999999999909</v>
      </c>
      <c r="AO27" s="9">
        <v>191.7</v>
      </c>
      <c r="AP27" s="9">
        <v>179.2</v>
      </c>
      <c r="AQ27" s="9">
        <f t="shared" si="13"/>
        <v>-12.5</v>
      </c>
    </row>
    <row r="28" spans="1:43" x14ac:dyDescent="0.25">
      <c r="A28" s="10">
        <v>27</v>
      </c>
      <c r="B28" s="9">
        <v>1108.5</v>
      </c>
      <c r="C28" s="9">
        <v>1066.5</v>
      </c>
      <c r="D28" s="9">
        <f t="shared" si="0"/>
        <v>-42</v>
      </c>
      <c r="E28" s="9">
        <v>186.5</v>
      </c>
      <c r="F28" s="9">
        <v>177.4</v>
      </c>
      <c r="G28" s="9">
        <f t="shared" si="1"/>
        <v>-9.0999999999999943</v>
      </c>
      <c r="H28" s="9">
        <v>1124.0999999999999</v>
      </c>
      <c r="I28" s="9">
        <v>1072.3</v>
      </c>
      <c r="J28" s="9">
        <f t="shared" si="2"/>
        <v>-51.799999999999955</v>
      </c>
      <c r="K28" s="9">
        <v>204.8</v>
      </c>
      <c r="L28" s="9">
        <v>187</v>
      </c>
      <c r="M28" s="9">
        <f t="shared" si="3"/>
        <v>-17.800000000000011</v>
      </c>
      <c r="N28" s="9">
        <v>1108</v>
      </c>
      <c r="O28" s="9">
        <v>1063.4000000000001</v>
      </c>
      <c r="P28" s="9">
        <f t="shared" si="4"/>
        <v>-44.599999999999909</v>
      </c>
      <c r="Q28" s="9">
        <v>186.3</v>
      </c>
      <c r="R28" s="9">
        <v>174.4</v>
      </c>
      <c r="S28" s="9">
        <f t="shared" si="5"/>
        <v>-11.900000000000006</v>
      </c>
      <c r="T28" s="9">
        <v>1108.9000000000001</v>
      </c>
      <c r="U28" s="9">
        <v>1063.9000000000001</v>
      </c>
      <c r="V28" s="9">
        <f t="shared" si="6"/>
        <v>-45</v>
      </c>
      <c r="W28" s="9">
        <v>187.3</v>
      </c>
      <c r="X28" s="9">
        <v>174.8</v>
      </c>
      <c r="Y28" s="9">
        <f t="shared" si="7"/>
        <v>-12.5</v>
      </c>
      <c r="Z28" s="9">
        <v>1108.9000000000001</v>
      </c>
      <c r="AA28" s="9">
        <v>1063.9000000000001</v>
      </c>
      <c r="AB28" s="9">
        <f t="shared" si="8"/>
        <v>-45</v>
      </c>
      <c r="AC28" s="9">
        <v>187.3</v>
      </c>
      <c r="AD28" s="9">
        <v>174.8</v>
      </c>
      <c r="AE28" s="9">
        <f t="shared" si="9"/>
        <v>-12.5</v>
      </c>
      <c r="AF28" s="9">
        <v>1110.3</v>
      </c>
      <c r="AG28" s="9">
        <v>1064.5</v>
      </c>
      <c r="AH28" s="9">
        <f t="shared" si="10"/>
        <v>-45.799999999999955</v>
      </c>
      <c r="AI28" s="9">
        <v>187.7</v>
      </c>
      <c r="AJ28" s="9">
        <v>174.9</v>
      </c>
      <c r="AK28" s="9">
        <f t="shared" si="11"/>
        <v>-12.799999999999983</v>
      </c>
      <c r="AL28" s="9">
        <v>1115.7</v>
      </c>
      <c r="AM28" s="9">
        <v>1068.4000000000001</v>
      </c>
      <c r="AN28" s="9">
        <f t="shared" si="12"/>
        <v>-47.299999999999955</v>
      </c>
      <c r="AO28" s="9">
        <v>189.2</v>
      </c>
      <c r="AP28" s="9">
        <v>175.8</v>
      </c>
      <c r="AQ28" s="9">
        <f t="shared" si="13"/>
        <v>-13.399999999999977</v>
      </c>
    </row>
    <row r="29" spans="1:43" x14ac:dyDescent="0.25">
      <c r="A29" s="10">
        <v>28</v>
      </c>
      <c r="B29" s="9">
        <v>1110.2</v>
      </c>
      <c r="C29" s="9">
        <v>1065.8</v>
      </c>
      <c r="D29" s="9">
        <f t="shared" si="0"/>
        <v>-44.400000000000091</v>
      </c>
      <c r="E29" s="9">
        <v>188.2</v>
      </c>
      <c r="F29" s="9">
        <v>177.2</v>
      </c>
      <c r="G29" s="9">
        <f t="shared" si="1"/>
        <v>-11</v>
      </c>
      <c r="H29" s="9">
        <v>1124.7</v>
      </c>
      <c r="I29" s="9">
        <v>1073.3</v>
      </c>
      <c r="J29" s="9">
        <f t="shared" si="2"/>
        <v>-51.400000000000091</v>
      </c>
      <c r="K29" s="9">
        <v>204.9</v>
      </c>
      <c r="L29" s="9">
        <v>187.4</v>
      </c>
      <c r="M29" s="9">
        <f t="shared" si="3"/>
        <v>-17.5</v>
      </c>
      <c r="N29" s="9">
        <v>1105.7</v>
      </c>
      <c r="O29" s="9">
        <v>1064.3</v>
      </c>
      <c r="P29" s="9">
        <f t="shared" si="4"/>
        <v>-41.400000000000091</v>
      </c>
      <c r="Q29" s="9">
        <v>183.2</v>
      </c>
      <c r="R29" s="9">
        <v>175.1</v>
      </c>
      <c r="S29" s="9">
        <f t="shared" si="5"/>
        <v>-8.0999999999999943</v>
      </c>
      <c r="T29" s="9">
        <v>1106.2</v>
      </c>
      <c r="U29" s="9">
        <v>1065.3</v>
      </c>
      <c r="V29" s="9">
        <f t="shared" si="6"/>
        <v>-40.900000000000091</v>
      </c>
      <c r="W29" s="9">
        <v>183.7</v>
      </c>
      <c r="X29" s="9">
        <v>176.1</v>
      </c>
      <c r="Y29" s="9">
        <f t="shared" si="7"/>
        <v>-7.5999999999999943</v>
      </c>
      <c r="Z29" s="9">
        <v>1106.3</v>
      </c>
      <c r="AA29" s="9">
        <v>1065.5999999999999</v>
      </c>
      <c r="AB29" s="9">
        <f t="shared" si="8"/>
        <v>-40.700000000000045</v>
      </c>
      <c r="AC29" s="9">
        <v>183.8</v>
      </c>
      <c r="AD29" s="9">
        <v>176.5</v>
      </c>
      <c r="AE29" s="9">
        <f t="shared" si="9"/>
        <v>-7.3000000000000114</v>
      </c>
      <c r="AF29" s="9">
        <v>1107.7</v>
      </c>
      <c r="AG29" s="9">
        <v>1066.7</v>
      </c>
      <c r="AH29" s="9">
        <f t="shared" si="10"/>
        <v>-41</v>
      </c>
      <c r="AI29" s="9">
        <v>184.3</v>
      </c>
      <c r="AJ29" s="9">
        <v>176.8</v>
      </c>
      <c r="AK29" s="9">
        <f t="shared" si="11"/>
        <v>-7.5</v>
      </c>
      <c r="AL29" s="9">
        <v>1112.5</v>
      </c>
      <c r="AM29" s="9">
        <v>1071.0999999999999</v>
      </c>
      <c r="AN29" s="9">
        <f t="shared" si="12"/>
        <v>-41.400000000000091</v>
      </c>
      <c r="AO29" s="9">
        <v>185.5</v>
      </c>
      <c r="AP29" s="9">
        <v>178</v>
      </c>
      <c r="AQ29" s="9">
        <f t="shared" si="13"/>
        <v>-7.5</v>
      </c>
    </row>
    <row r="30" spans="1:43" x14ac:dyDescent="0.25">
      <c r="A30" s="10">
        <v>29</v>
      </c>
      <c r="B30" s="9">
        <v>1108.5999999999999</v>
      </c>
      <c r="C30" s="9">
        <v>1063.9000000000001</v>
      </c>
      <c r="D30" s="9">
        <f t="shared" si="0"/>
        <v>-44.699999999999818</v>
      </c>
      <c r="E30" s="9">
        <v>186.8</v>
      </c>
      <c r="F30" s="9">
        <v>174.7</v>
      </c>
      <c r="G30" s="9">
        <f t="shared" si="1"/>
        <v>-12.100000000000023</v>
      </c>
      <c r="H30" s="9">
        <v>1118.9000000000001</v>
      </c>
      <c r="I30" s="9">
        <v>1071.9000000000001</v>
      </c>
      <c r="J30" s="9">
        <f t="shared" si="2"/>
        <v>-47</v>
      </c>
      <c r="K30" s="9">
        <v>200.2</v>
      </c>
      <c r="L30" s="9">
        <v>186.1</v>
      </c>
      <c r="M30" s="9">
        <f t="shared" si="3"/>
        <v>-14.099999999999994</v>
      </c>
      <c r="N30" s="9">
        <v>1109.0999999999999</v>
      </c>
      <c r="O30" s="9">
        <v>1063.5</v>
      </c>
      <c r="P30" s="9">
        <f t="shared" si="4"/>
        <v>-45.599999999999909</v>
      </c>
      <c r="Q30" s="9">
        <v>187.4</v>
      </c>
      <c r="R30" s="9">
        <v>174.9</v>
      </c>
      <c r="S30" s="9">
        <f t="shared" si="5"/>
        <v>-12.5</v>
      </c>
      <c r="T30" s="9">
        <v>1109.3</v>
      </c>
      <c r="U30" s="9">
        <v>1064</v>
      </c>
      <c r="V30" s="9">
        <f t="shared" si="6"/>
        <v>-45.299999999999955</v>
      </c>
      <c r="W30" s="9">
        <v>187.7</v>
      </c>
      <c r="X30" s="9">
        <v>175.5</v>
      </c>
      <c r="Y30" s="9">
        <f t="shared" si="7"/>
        <v>-12.199999999999989</v>
      </c>
      <c r="Z30" s="9">
        <v>1111.9000000000001</v>
      </c>
      <c r="AA30" s="9">
        <v>1064.0999999999999</v>
      </c>
      <c r="AB30" s="9">
        <f t="shared" si="8"/>
        <v>-47.800000000000182</v>
      </c>
      <c r="AC30" s="9">
        <v>190.3</v>
      </c>
      <c r="AD30" s="9">
        <v>175.6</v>
      </c>
      <c r="AE30" s="9">
        <f t="shared" si="9"/>
        <v>-14.700000000000017</v>
      </c>
      <c r="AF30" s="9">
        <v>1113.8</v>
      </c>
      <c r="AG30" s="9">
        <v>1064.9000000000001</v>
      </c>
      <c r="AH30" s="9">
        <f t="shared" si="10"/>
        <v>-48.899999999999864</v>
      </c>
      <c r="AI30" s="9">
        <v>191.2</v>
      </c>
      <c r="AJ30" s="9">
        <v>175.9</v>
      </c>
      <c r="AK30" s="9">
        <f t="shared" si="11"/>
        <v>-15.299999999999983</v>
      </c>
      <c r="AL30" s="9">
        <v>1119.9000000000001</v>
      </c>
      <c r="AM30" s="9">
        <v>1068.3</v>
      </c>
      <c r="AN30" s="9">
        <f t="shared" si="12"/>
        <v>-51.600000000000136</v>
      </c>
      <c r="AO30" s="9">
        <v>193.2</v>
      </c>
      <c r="AP30" s="9">
        <v>176.5</v>
      </c>
      <c r="AQ30" s="9">
        <f t="shared" si="13"/>
        <v>-16.699999999999989</v>
      </c>
    </row>
    <row r="31" spans="1:43" x14ac:dyDescent="0.25">
      <c r="A31" s="10">
        <v>30</v>
      </c>
      <c r="B31" s="9">
        <v>1110</v>
      </c>
      <c r="C31" s="9">
        <v>1065.7</v>
      </c>
      <c r="D31" s="9">
        <f t="shared" si="0"/>
        <v>-44.299999999999955</v>
      </c>
      <c r="E31" s="9">
        <v>187.4</v>
      </c>
      <c r="F31" s="9">
        <v>177</v>
      </c>
      <c r="G31" s="9">
        <f t="shared" si="1"/>
        <v>-10.400000000000006</v>
      </c>
      <c r="H31" s="9">
        <v>1121.0999999999999</v>
      </c>
      <c r="I31" s="9">
        <v>1073.2</v>
      </c>
      <c r="J31" s="9">
        <f t="shared" si="2"/>
        <v>-47.899999999999864</v>
      </c>
      <c r="K31" s="9">
        <v>201.9</v>
      </c>
      <c r="L31" s="9">
        <v>187.2</v>
      </c>
      <c r="M31" s="9">
        <f t="shared" si="3"/>
        <v>-14.700000000000017</v>
      </c>
      <c r="N31" s="9">
        <v>1106.0999999999999</v>
      </c>
      <c r="O31" s="9">
        <v>1062.4000000000001</v>
      </c>
      <c r="P31" s="9">
        <f t="shared" si="4"/>
        <v>-43.699999999999818</v>
      </c>
      <c r="Q31" s="9">
        <v>184.2</v>
      </c>
      <c r="R31" s="9">
        <v>173.4</v>
      </c>
      <c r="S31" s="9">
        <f t="shared" si="5"/>
        <v>-10.799999999999983</v>
      </c>
      <c r="T31" s="9">
        <v>1106.4000000000001</v>
      </c>
      <c r="U31" s="9">
        <v>1062.9000000000001</v>
      </c>
      <c r="V31" s="9">
        <f t="shared" si="6"/>
        <v>-43.5</v>
      </c>
      <c r="W31" s="9">
        <v>184.4</v>
      </c>
      <c r="X31" s="9">
        <v>173.8</v>
      </c>
      <c r="Y31" s="9">
        <f t="shared" si="7"/>
        <v>-10.599999999999994</v>
      </c>
      <c r="Z31" s="9">
        <v>1106.4000000000001</v>
      </c>
      <c r="AA31" s="9">
        <v>1062.9000000000001</v>
      </c>
      <c r="AB31" s="9">
        <f t="shared" si="8"/>
        <v>-43.5</v>
      </c>
      <c r="AC31" s="9">
        <v>184.4</v>
      </c>
      <c r="AD31" s="9">
        <v>173.8</v>
      </c>
      <c r="AE31" s="9">
        <f t="shared" si="9"/>
        <v>-10.599999999999994</v>
      </c>
      <c r="AF31" s="9">
        <v>1107.5</v>
      </c>
      <c r="AG31" s="9">
        <v>1063.5</v>
      </c>
      <c r="AH31" s="9">
        <f t="shared" si="10"/>
        <v>-44</v>
      </c>
      <c r="AI31" s="9">
        <v>184.7</v>
      </c>
      <c r="AJ31" s="9">
        <v>174</v>
      </c>
      <c r="AK31" s="9">
        <f t="shared" si="11"/>
        <v>-10.699999999999989</v>
      </c>
      <c r="AL31" s="9">
        <v>1112.0999999999999</v>
      </c>
      <c r="AM31" s="9">
        <v>1067.3</v>
      </c>
      <c r="AN31" s="9">
        <f t="shared" si="12"/>
        <v>-44.799999999999955</v>
      </c>
      <c r="AO31" s="9">
        <v>185.9</v>
      </c>
      <c r="AP31" s="9">
        <v>175</v>
      </c>
      <c r="AQ31" s="9">
        <f t="shared" si="13"/>
        <v>-10.900000000000006</v>
      </c>
    </row>
    <row r="32" spans="1:43" x14ac:dyDescent="0.25">
      <c r="A32" s="10">
        <v>31</v>
      </c>
      <c r="B32" s="9">
        <v>1111.4000000000001</v>
      </c>
      <c r="C32" s="9">
        <v>1064.3</v>
      </c>
      <c r="D32" s="9">
        <f t="shared" si="0"/>
        <v>-47.100000000000136</v>
      </c>
      <c r="E32" s="9">
        <v>189.4</v>
      </c>
      <c r="F32" s="9">
        <v>175.8</v>
      </c>
      <c r="G32" s="9">
        <f t="shared" si="1"/>
        <v>-13.599999999999994</v>
      </c>
      <c r="H32" s="9">
        <v>1120.2</v>
      </c>
      <c r="I32" s="9">
        <v>1074.4000000000001</v>
      </c>
      <c r="J32" s="9">
        <f t="shared" si="2"/>
        <v>-45.799999999999955</v>
      </c>
      <c r="K32" s="9">
        <v>200.3</v>
      </c>
      <c r="L32" s="9">
        <v>188.6</v>
      </c>
      <c r="M32" s="9">
        <f t="shared" si="3"/>
        <v>-11.700000000000017</v>
      </c>
      <c r="N32" s="9">
        <v>1110.9000000000001</v>
      </c>
      <c r="O32" s="9">
        <v>1065.9000000000001</v>
      </c>
      <c r="P32" s="9">
        <f t="shared" si="4"/>
        <v>-45</v>
      </c>
      <c r="Q32" s="9">
        <v>188.4</v>
      </c>
      <c r="R32" s="9">
        <v>176.7</v>
      </c>
      <c r="S32" s="9">
        <f t="shared" si="5"/>
        <v>-11.700000000000017</v>
      </c>
      <c r="T32" s="9">
        <v>1111.5</v>
      </c>
      <c r="U32" s="9">
        <v>1066.5999999999999</v>
      </c>
      <c r="V32" s="9">
        <f t="shared" si="6"/>
        <v>-44.900000000000091</v>
      </c>
      <c r="W32" s="9">
        <v>189.1</v>
      </c>
      <c r="X32" s="9">
        <v>177.3</v>
      </c>
      <c r="Y32" s="9">
        <f t="shared" si="7"/>
        <v>-11.799999999999983</v>
      </c>
      <c r="Z32" s="9">
        <v>1114.9000000000001</v>
      </c>
      <c r="AA32" s="9">
        <v>1066.5999999999999</v>
      </c>
      <c r="AB32" s="9">
        <f t="shared" si="8"/>
        <v>-48.300000000000182</v>
      </c>
      <c r="AC32" s="9">
        <v>192.6</v>
      </c>
      <c r="AD32" s="9">
        <v>177.4</v>
      </c>
      <c r="AE32" s="9">
        <f t="shared" si="9"/>
        <v>-15.199999999999989</v>
      </c>
      <c r="AF32" s="9">
        <v>1116.8</v>
      </c>
      <c r="AG32" s="9">
        <v>1067.4000000000001</v>
      </c>
      <c r="AH32" s="9">
        <f t="shared" si="10"/>
        <v>-49.399999999999864</v>
      </c>
      <c r="AI32" s="9">
        <v>193.2</v>
      </c>
      <c r="AJ32" s="9">
        <v>177.6</v>
      </c>
      <c r="AK32" s="9">
        <f t="shared" si="11"/>
        <v>-15.599999999999994</v>
      </c>
      <c r="AL32" s="9">
        <v>1122.5999999999999</v>
      </c>
      <c r="AM32" s="9">
        <v>1071.4000000000001</v>
      </c>
      <c r="AN32" s="9">
        <f t="shared" si="12"/>
        <v>-51.199999999999818</v>
      </c>
      <c r="AO32" s="9">
        <v>194.9</v>
      </c>
      <c r="AP32" s="9">
        <v>178.5</v>
      </c>
      <c r="AQ32" s="9">
        <f t="shared" si="13"/>
        <v>-16.400000000000006</v>
      </c>
    </row>
    <row r="33" spans="1:43" x14ac:dyDescent="0.25">
      <c r="A33" s="10">
        <v>32</v>
      </c>
      <c r="B33" s="9">
        <v>1110.2</v>
      </c>
      <c r="C33" s="9">
        <v>1064.2</v>
      </c>
      <c r="D33" s="9">
        <f t="shared" si="0"/>
        <v>-46</v>
      </c>
      <c r="E33" s="9">
        <v>188</v>
      </c>
      <c r="F33" s="9">
        <v>175.2</v>
      </c>
      <c r="G33" s="9">
        <f t="shared" si="1"/>
        <v>-12.800000000000011</v>
      </c>
      <c r="H33" s="9">
        <v>1121.3</v>
      </c>
      <c r="I33" s="9">
        <v>1074.7</v>
      </c>
      <c r="J33" s="9">
        <f t="shared" si="2"/>
        <v>-46.599999999999909</v>
      </c>
      <c r="K33" s="9">
        <v>201.6</v>
      </c>
      <c r="L33" s="9">
        <v>188.5</v>
      </c>
      <c r="M33" s="9">
        <f t="shared" si="3"/>
        <v>-13.099999999999994</v>
      </c>
      <c r="N33" s="9">
        <v>1108.5999999999999</v>
      </c>
      <c r="O33" s="9">
        <v>1064.2</v>
      </c>
      <c r="P33" s="9">
        <f t="shared" si="4"/>
        <v>-44.399999999999864</v>
      </c>
      <c r="Q33" s="9">
        <v>186.1</v>
      </c>
      <c r="R33" s="9">
        <v>174.5</v>
      </c>
      <c r="S33" s="9">
        <f t="shared" si="5"/>
        <v>-11.599999999999994</v>
      </c>
      <c r="T33" s="9">
        <v>1109.9000000000001</v>
      </c>
      <c r="U33" s="9">
        <v>1065.0999999999999</v>
      </c>
      <c r="V33" s="9">
        <f t="shared" si="6"/>
        <v>-44.800000000000182</v>
      </c>
      <c r="W33" s="9">
        <v>187.4</v>
      </c>
      <c r="X33" s="9">
        <v>175.3</v>
      </c>
      <c r="Y33" s="9">
        <f t="shared" si="7"/>
        <v>-12.099999999999994</v>
      </c>
      <c r="Z33" s="9">
        <v>1110</v>
      </c>
      <c r="AA33" s="9">
        <v>1065.0999999999999</v>
      </c>
      <c r="AB33" s="9">
        <f t="shared" si="8"/>
        <v>-44.900000000000091</v>
      </c>
      <c r="AC33" s="9">
        <v>187.6</v>
      </c>
      <c r="AD33" s="9">
        <v>175.4</v>
      </c>
      <c r="AE33" s="9">
        <f t="shared" si="9"/>
        <v>-12.199999999999989</v>
      </c>
      <c r="AF33" s="9">
        <v>1111.7</v>
      </c>
      <c r="AG33" s="9">
        <v>1066.0999999999999</v>
      </c>
      <c r="AH33" s="9">
        <f t="shared" si="10"/>
        <v>-45.600000000000136</v>
      </c>
      <c r="AI33" s="9">
        <v>188.2</v>
      </c>
      <c r="AJ33" s="9">
        <v>175.8</v>
      </c>
      <c r="AK33" s="9">
        <f t="shared" si="11"/>
        <v>-12.399999999999977</v>
      </c>
      <c r="AL33" s="9">
        <v>1117</v>
      </c>
      <c r="AM33" s="9">
        <v>1070.3</v>
      </c>
      <c r="AN33" s="9">
        <f t="shared" si="12"/>
        <v>-46.700000000000045</v>
      </c>
      <c r="AO33" s="9">
        <v>189.5</v>
      </c>
      <c r="AP33" s="9">
        <v>176.9</v>
      </c>
      <c r="AQ33" s="9">
        <f t="shared" si="13"/>
        <v>-12.599999999999994</v>
      </c>
    </row>
    <row r="34" spans="1:43" x14ac:dyDescent="0.25">
      <c r="A34" s="10">
        <v>33</v>
      </c>
      <c r="B34" s="9">
        <v>1109.5</v>
      </c>
      <c r="C34" s="9">
        <v>1064.7</v>
      </c>
      <c r="D34" s="9">
        <f t="shared" ref="D34:D65" si="14">C34-B34</f>
        <v>-44.799999999999955</v>
      </c>
      <c r="E34" s="9">
        <v>186.6</v>
      </c>
      <c r="F34" s="9">
        <v>175</v>
      </c>
      <c r="G34" s="9">
        <f t="shared" ref="G34:G65" si="15">F34-E34</f>
        <v>-11.599999999999994</v>
      </c>
      <c r="H34" s="9">
        <v>1121.5999999999999</v>
      </c>
      <c r="I34" s="9">
        <v>1075</v>
      </c>
      <c r="J34" s="9">
        <f t="shared" ref="J34:J65" si="16">I34-H34</f>
        <v>-46.599999999999909</v>
      </c>
      <c r="K34" s="9">
        <v>201.3</v>
      </c>
      <c r="L34" s="9">
        <v>189</v>
      </c>
      <c r="M34" s="9">
        <f t="shared" ref="M34:M65" si="17">L34-K34</f>
        <v>-12.300000000000011</v>
      </c>
      <c r="N34" s="9">
        <v>1111.0999999999999</v>
      </c>
      <c r="O34" s="9">
        <v>1063.5</v>
      </c>
      <c r="P34" s="9">
        <f t="shared" ref="P34:P65" si="18">O34-N34</f>
        <v>-47.599999999999909</v>
      </c>
      <c r="Q34" s="9">
        <v>189</v>
      </c>
      <c r="R34" s="9">
        <v>175</v>
      </c>
      <c r="S34" s="9">
        <f t="shared" ref="S34:S65" si="19">R34-Q34</f>
        <v>-14</v>
      </c>
      <c r="T34" s="9">
        <v>1111.9000000000001</v>
      </c>
      <c r="U34" s="9">
        <v>1064</v>
      </c>
      <c r="V34" s="9">
        <f t="shared" ref="V34:V65" si="20">U34-T34</f>
        <v>-47.900000000000091</v>
      </c>
      <c r="W34" s="9">
        <v>189.8</v>
      </c>
      <c r="X34" s="9">
        <v>175.5</v>
      </c>
      <c r="Y34" s="9">
        <f t="shared" ref="Y34:Y65" si="21">X34-W34</f>
        <v>-14.300000000000011</v>
      </c>
      <c r="Z34" s="9">
        <v>1111.9000000000001</v>
      </c>
      <c r="AA34" s="9">
        <v>1064.3</v>
      </c>
      <c r="AB34" s="9">
        <f t="shared" ref="AB34:AB65" si="22">AA34-Z34</f>
        <v>-47.600000000000136</v>
      </c>
      <c r="AC34" s="9">
        <v>189.9</v>
      </c>
      <c r="AD34" s="9">
        <v>175.9</v>
      </c>
      <c r="AE34" s="9">
        <f t="shared" ref="AE34:AE65" si="23">AD34-AC34</f>
        <v>-14</v>
      </c>
      <c r="AF34" s="9">
        <v>1113.5</v>
      </c>
      <c r="AG34" s="9">
        <v>1065</v>
      </c>
      <c r="AH34" s="9">
        <f t="shared" ref="AH34:AH65" si="24">AG34-AF34</f>
        <v>-48.5</v>
      </c>
      <c r="AI34" s="9">
        <v>190.4</v>
      </c>
      <c r="AJ34" s="9">
        <v>176.1</v>
      </c>
      <c r="AK34" s="9">
        <f t="shared" ref="AK34:AK65" si="25">AJ34-AI34</f>
        <v>-14.300000000000011</v>
      </c>
      <c r="AL34" s="9">
        <v>1119.5</v>
      </c>
      <c r="AM34" s="9">
        <v>1068.9000000000001</v>
      </c>
      <c r="AN34" s="9">
        <f t="shared" ref="AN34:AN65" si="26">AM34-AL34</f>
        <v>-50.599999999999909</v>
      </c>
      <c r="AO34" s="9">
        <v>192.2</v>
      </c>
      <c r="AP34" s="9">
        <v>177</v>
      </c>
      <c r="AQ34" s="9">
        <f t="shared" ref="AQ34:AQ65" si="27">AP34-AO34</f>
        <v>-15.199999999999989</v>
      </c>
    </row>
    <row r="35" spans="1:43" x14ac:dyDescent="0.25">
      <c r="A35" s="10">
        <v>34</v>
      </c>
      <c r="B35" s="9">
        <v>1109.3</v>
      </c>
      <c r="C35" s="9">
        <v>1067.3</v>
      </c>
      <c r="D35" s="9">
        <f t="shared" si="14"/>
        <v>-42</v>
      </c>
      <c r="E35" s="9">
        <v>186.8</v>
      </c>
      <c r="F35" s="9">
        <v>178.2</v>
      </c>
      <c r="G35" s="9">
        <f t="shared" si="15"/>
        <v>-8.6000000000000227</v>
      </c>
      <c r="H35" s="9">
        <v>1124.5</v>
      </c>
      <c r="I35" s="9">
        <v>1069.8</v>
      </c>
      <c r="J35" s="9">
        <f t="shared" si="16"/>
        <v>-54.700000000000045</v>
      </c>
      <c r="K35" s="9">
        <v>204</v>
      </c>
      <c r="L35" s="9">
        <v>184</v>
      </c>
      <c r="M35" s="9">
        <f t="shared" si="17"/>
        <v>-20</v>
      </c>
      <c r="N35" s="9">
        <v>1109</v>
      </c>
      <c r="O35" s="9">
        <v>1063.3</v>
      </c>
      <c r="P35" s="9">
        <f t="shared" si="18"/>
        <v>-45.700000000000045</v>
      </c>
      <c r="Q35" s="9">
        <v>186.4</v>
      </c>
      <c r="R35" s="9">
        <v>174.5</v>
      </c>
      <c r="S35" s="9">
        <f t="shared" si="19"/>
        <v>-11.900000000000006</v>
      </c>
      <c r="T35" s="9">
        <v>1109.3</v>
      </c>
      <c r="U35" s="9">
        <v>1063.9000000000001</v>
      </c>
      <c r="V35" s="9">
        <f t="shared" si="20"/>
        <v>-45.399999999999864</v>
      </c>
      <c r="W35" s="9">
        <v>186.8</v>
      </c>
      <c r="X35" s="9">
        <v>175.1</v>
      </c>
      <c r="Y35" s="9">
        <f t="shared" si="21"/>
        <v>-11.700000000000017</v>
      </c>
      <c r="Z35" s="9">
        <v>1109.3</v>
      </c>
      <c r="AA35" s="9">
        <v>1064.2</v>
      </c>
      <c r="AB35" s="9">
        <f t="shared" si="22"/>
        <v>-45.099999999999909</v>
      </c>
      <c r="AC35" s="9">
        <v>186.8</v>
      </c>
      <c r="AD35" s="9">
        <v>175.4</v>
      </c>
      <c r="AE35" s="9">
        <f t="shared" si="23"/>
        <v>-11.400000000000006</v>
      </c>
      <c r="AF35" s="9">
        <v>1110.7</v>
      </c>
      <c r="AG35" s="9">
        <v>1065.0999999999999</v>
      </c>
      <c r="AH35" s="9">
        <f t="shared" si="24"/>
        <v>-45.600000000000136</v>
      </c>
      <c r="AI35" s="9">
        <v>187.3</v>
      </c>
      <c r="AJ35" s="9">
        <v>175.8</v>
      </c>
      <c r="AK35" s="9">
        <f t="shared" si="25"/>
        <v>-11.5</v>
      </c>
      <c r="AL35" s="9">
        <v>1116</v>
      </c>
      <c r="AM35" s="9">
        <v>1068.8</v>
      </c>
      <c r="AN35" s="9">
        <f t="shared" si="26"/>
        <v>-47.200000000000045</v>
      </c>
      <c r="AO35" s="9">
        <v>188.9</v>
      </c>
      <c r="AP35" s="9">
        <v>176.5</v>
      </c>
      <c r="AQ35" s="9">
        <f t="shared" si="27"/>
        <v>-12.400000000000006</v>
      </c>
    </row>
    <row r="36" spans="1:43" x14ac:dyDescent="0.25">
      <c r="A36" s="10">
        <v>35</v>
      </c>
      <c r="B36" s="9">
        <v>1111.9000000000001</v>
      </c>
      <c r="C36" s="9">
        <v>1063.7</v>
      </c>
      <c r="D36" s="9">
        <f t="shared" si="14"/>
        <v>-48.200000000000045</v>
      </c>
      <c r="E36" s="9">
        <v>189.3</v>
      </c>
      <c r="F36" s="9">
        <v>174.7</v>
      </c>
      <c r="G36" s="9">
        <f t="shared" si="15"/>
        <v>-14.600000000000023</v>
      </c>
      <c r="H36" s="9">
        <v>1122.9000000000001</v>
      </c>
      <c r="I36" s="9">
        <v>1075.5999999999999</v>
      </c>
      <c r="J36" s="9">
        <f t="shared" si="16"/>
        <v>-47.300000000000182</v>
      </c>
      <c r="K36" s="9">
        <v>203.1</v>
      </c>
      <c r="L36" s="9">
        <v>189.6</v>
      </c>
      <c r="M36" s="9">
        <f t="shared" si="17"/>
        <v>-13.5</v>
      </c>
      <c r="N36" s="9">
        <v>1110.5</v>
      </c>
      <c r="O36" s="9">
        <v>1067</v>
      </c>
      <c r="P36" s="9">
        <f t="shared" si="18"/>
        <v>-43.5</v>
      </c>
      <c r="Q36" s="9">
        <v>189.2</v>
      </c>
      <c r="R36" s="9">
        <v>178.1</v>
      </c>
      <c r="S36" s="9">
        <f t="shared" si="19"/>
        <v>-11.099999999999994</v>
      </c>
      <c r="T36" s="9">
        <v>1111.4000000000001</v>
      </c>
      <c r="U36" s="9">
        <v>1068</v>
      </c>
      <c r="V36" s="9">
        <f t="shared" si="20"/>
        <v>-43.400000000000091</v>
      </c>
      <c r="W36" s="9">
        <v>190.1</v>
      </c>
      <c r="X36" s="9">
        <v>179.2</v>
      </c>
      <c r="Y36" s="9">
        <f t="shared" si="21"/>
        <v>-10.900000000000006</v>
      </c>
      <c r="Z36" s="9">
        <v>1112.7</v>
      </c>
      <c r="AA36" s="9">
        <v>1068.5999999999999</v>
      </c>
      <c r="AB36" s="9">
        <f t="shared" si="22"/>
        <v>-44.100000000000136</v>
      </c>
      <c r="AC36" s="9">
        <v>191.4</v>
      </c>
      <c r="AD36" s="9">
        <v>179.7</v>
      </c>
      <c r="AE36" s="9">
        <f t="shared" si="23"/>
        <v>-11.700000000000017</v>
      </c>
      <c r="AF36" s="9">
        <v>1114.5</v>
      </c>
      <c r="AG36" s="9">
        <v>1069.5</v>
      </c>
      <c r="AH36" s="9">
        <f t="shared" si="24"/>
        <v>-45</v>
      </c>
      <c r="AI36" s="9">
        <v>192.1</v>
      </c>
      <c r="AJ36" s="9">
        <v>180.1</v>
      </c>
      <c r="AK36" s="9">
        <f t="shared" si="25"/>
        <v>-12</v>
      </c>
      <c r="AL36" s="9">
        <v>1120.8</v>
      </c>
      <c r="AM36" s="9">
        <v>1073.7</v>
      </c>
      <c r="AN36" s="9">
        <f t="shared" si="26"/>
        <v>-47.099999999999909</v>
      </c>
      <c r="AO36" s="9">
        <v>194.2</v>
      </c>
      <c r="AP36" s="9">
        <v>181.3</v>
      </c>
      <c r="AQ36" s="9">
        <f t="shared" si="27"/>
        <v>-12.899999999999977</v>
      </c>
    </row>
    <row r="37" spans="1:43" x14ac:dyDescent="0.25">
      <c r="A37" s="10">
        <v>36</v>
      </c>
      <c r="B37" s="9">
        <v>1110.0999999999999</v>
      </c>
      <c r="C37" s="9">
        <v>1065.2</v>
      </c>
      <c r="D37" s="9">
        <f t="shared" si="14"/>
        <v>-44.899999999999864</v>
      </c>
      <c r="E37" s="9">
        <v>188.4</v>
      </c>
      <c r="F37" s="9">
        <v>176.5</v>
      </c>
      <c r="G37" s="9">
        <f t="shared" si="15"/>
        <v>-11.900000000000006</v>
      </c>
      <c r="H37" s="9">
        <v>1122.7</v>
      </c>
      <c r="I37" s="9">
        <v>1074.2</v>
      </c>
      <c r="J37" s="9">
        <f t="shared" si="16"/>
        <v>-48.5</v>
      </c>
      <c r="K37" s="9">
        <v>202.3</v>
      </c>
      <c r="L37" s="9">
        <v>187.6</v>
      </c>
      <c r="M37" s="9">
        <f t="shared" si="17"/>
        <v>-14.700000000000017</v>
      </c>
      <c r="N37" s="9">
        <v>1112.4000000000001</v>
      </c>
      <c r="O37" s="9">
        <v>1065.8</v>
      </c>
      <c r="P37" s="9">
        <f t="shared" si="18"/>
        <v>-46.600000000000136</v>
      </c>
      <c r="Q37" s="9">
        <v>190.2</v>
      </c>
      <c r="R37" s="9">
        <v>176.8</v>
      </c>
      <c r="S37" s="9">
        <f t="shared" si="19"/>
        <v>-13.399999999999977</v>
      </c>
      <c r="T37" s="9">
        <v>1113.2</v>
      </c>
      <c r="U37" s="9">
        <v>1066.4000000000001</v>
      </c>
      <c r="V37" s="9">
        <f t="shared" si="20"/>
        <v>-46.799999999999955</v>
      </c>
      <c r="W37" s="9">
        <v>190.9</v>
      </c>
      <c r="X37" s="9">
        <v>177.4</v>
      </c>
      <c r="Y37" s="9">
        <f t="shared" si="21"/>
        <v>-13.5</v>
      </c>
      <c r="Z37" s="9">
        <v>1113.3</v>
      </c>
      <c r="AA37" s="9">
        <v>1066.5</v>
      </c>
      <c r="AB37" s="9">
        <f t="shared" si="22"/>
        <v>-46.799999999999955</v>
      </c>
      <c r="AC37" s="9">
        <v>191.1</v>
      </c>
      <c r="AD37" s="9">
        <v>177.5</v>
      </c>
      <c r="AE37" s="9">
        <f t="shared" si="23"/>
        <v>-13.599999999999994</v>
      </c>
      <c r="AF37" s="9">
        <v>1115</v>
      </c>
      <c r="AG37" s="9">
        <v>1067.4000000000001</v>
      </c>
      <c r="AH37" s="9">
        <f t="shared" si="24"/>
        <v>-47.599999999999909</v>
      </c>
      <c r="AI37" s="9">
        <v>191.7</v>
      </c>
      <c r="AJ37" s="9">
        <v>177.8</v>
      </c>
      <c r="AK37" s="9">
        <f t="shared" si="25"/>
        <v>-13.899999999999977</v>
      </c>
      <c r="AL37" s="9">
        <v>1120.8</v>
      </c>
      <c r="AM37" s="9">
        <v>1071.2</v>
      </c>
      <c r="AN37" s="9">
        <f t="shared" si="26"/>
        <v>-49.599999999999909</v>
      </c>
      <c r="AO37" s="9">
        <v>193.3</v>
      </c>
      <c r="AP37" s="9">
        <v>178.7</v>
      </c>
      <c r="AQ37" s="9">
        <f t="shared" si="27"/>
        <v>-14.600000000000023</v>
      </c>
    </row>
    <row r="38" spans="1:43" x14ac:dyDescent="0.25">
      <c r="A38" s="10">
        <v>37</v>
      </c>
      <c r="B38" s="9">
        <v>1109.3</v>
      </c>
      <c r="C38" s="9">
        <v>1064.0999999999999</v>
      </c>
      <c r="D38" s="9">
        <f t="shared" si="14"/>
        <v>-45.200000000000045</v>
      </c>
      <c r="E38" s="9">
        <v>187.5</v>
      </c>
      <c r="F38" s="9">
        <v>175.2</v>
      </c>
      <c r="G38" s="9">
        <f t="shared" si="15"/>
        <v>-12.300000000000011</v>
      </c>
      <c r="H38" s="9">
        <v>1120.3</v>
      </c>
      <c r="I38" s="9">
        <v>1073.8</v>
      </c>
      <c r="J38" s="9">
        <f t="shared" si="16"/>
        <v>-46.5</v>
      </c>
      <c r="K38" s="9">
        <v>200.8</v>
      </c>
      <c r="L38" s="9">
        <v>188.5</v>
      </c>
      <c r="M38" s="9">
        <f t="shared" si="17"/>
        <v>-12.300000000000011</v>
      </c>
      <c r="N38" s="9">
        <v>1109.9000000000001</v>
      </c>
      <c r="O38" s="9">
        <v>1064.5</v>
      </c>
      <c r="P38" s="9">
        <f t="shared" si="18"/>
        <v>-45.400000000000091</v>
      </c>
      <c r="Q38" s="9">
        <v>188.5</v>
      </c>
      <c r="R38" s="9">
        <v>175.6</v>
      </c>
      <c r="S38" s="9">
        <f t="shared" si="19"/>
        <v>-12.900000000000006</v>
      </c>
      <c r="T38" s="9">
        <v>1110.5999999999999</v>
      </c>
      <c r="U38" s="9">
        <v>1065.7</v>
      </c>
      <c r="V38" s="9">
        <f t="shared" si="20"/>
        <v>-44.899999999999864</v>
      </c>
      <c r="W38" s="9">
        <v>189.1</v>
      </c>
      <c r="X38" s="9">
        <v>176.6</v>
      </c>
      <c r="Y38" s="9">
        <f t="shared" si="21"/>
        <v>-12.5</v>
      </c>
      <c r="Z38" s="9">
        <v>1110.5999999999999</v>
      </c>
      <c r="AA38" s="9">
        <v>1066.5999999999999</v>
      </c>
      <c r="AB38" s="9">
        <f t="shared" si="22"/>
        <v>-44</v>
      </c>
      <c r="AC38" s="9">
        <v>189.2</v>
      </c>
      <c r="AD38" s="9">
        <v>177.6</v>
      </c>
      <c r="AE38" s="9">
        <f t="shared" si="23"/>
        <v>-11.599999999999994</v>
      </c>
      <c r="AF38" s="9">
        <v>1112.3</v>
      </c>
      <c r="AG38" s="9">
        <v>1067.8</v>
      </c>
      <c r="AH38" s="9">
        <f t="shared" si="24"/>
        <v>-44.5</v>
      </c>
      <c r="AI38" s="9">
        <v>189.7</v>
      </c>
      <c r="AJ38" s="9">
        <v>178.1</v>
      </c>
      <c r="AK38" s="9">
        <f t="shared" si="25"/>
        <v>-11.599999999999994</v>
      </c>
      <c r="AL38" s="9">
        <v>1117.0999999999999</v>
      </c>
      <c r="AM38" s="9">
        <v>1072.0999999999999</v>
      </c>
      <c r="AN38" s="9">
        <f t="shared" si="26"/>
        <v>-45</v>
      </c>
      <c r="AO38" s="9">
        <v>190.7</v>
      </c>
      <c r="AP38" s="9">
        <v>179.1</v>
      </c>
      <c r="AQ38" s="9">
        <f t="shared" si="27"/>
        <v>-11.599999999999994</v>
      </c>
    </row>
    <row r="39" spans="1:43" x14ac:dyDescent="0.25">
      <c r="A39" s="10">
        <v>38</v>
      </c>
      <c r="B39" s="9">
        <v>1113</v>
      </c>
      <c r="C39" s="9">
        <v>1061</v>
      </c>
      <c r="D39" s="9">
        <f t="shared" si="14"/>
        <v>-52</v>
      </c>
      <c r="E39" s="9">
        <v>189.9</v>
      </c>
      <c r="F39" s="9">
        <v>172.1</v>
      </c>
      <c r="G39" s="9">
        <f t="shared" si="15"/>
        <v>-17.800000000000011</v>
      </c>
      <c r="H39" s="9">
        <v>1120.7</v>
      </c>
      <c r="I39" s="9">
        <v>1074.3</v>
      </c>
      <c r="J39" s="9">
        <f t="shared" si="16"/>
        <v>-46.400000000000091</v>
      </c>
      <c r="K39" s="9">
        <v>200.4</v>
      </c>
      <c r="L39" s="9">
        <v>188.5</v>
      </c>
      <c r="M39" s="9">
        <f t="shared" si="17"/>
        <v>-11.900000000000006</v>
      </c>
      <c r="N39" s="9">
        <v>1109.5999999999999</v>
      </c>
      <c r="O39" s="9">
        <v>1062.3</v>
      </c>
      <c r="P39" s="9">
        <f t="shared" si="18"/>
        <v>-47.299999999999955</v>
      </c>
      <c r="Q39" s="9">
        <v>187.2</v>
      </c>
      <c r="R39" s="9">
        <v>172.8</v>
      </c>
      <c r="S39" s="9">
        <f t="shared" si="19"/>
        <v>-14.399999999999977</v>
      </c>
      <c r="T39" s="9">
        <v>1110.3</v>
      </c>
      <c r="U39" s="9">
        <v>1063</v>
      </c>
      <c r="V39" s="9">
        <f t="shared" si="20"/>
        <v>-47.299999999999955</v>
      </c>
      <c r="W39" s="9">
        <v>188</v>
      </c>
      <c r="X39" s="9">
        <v>173.4</v>
      </c>
      <c r="Y39" s="9">
        <f t="shared" si="21"/>
        <v>-14.599999999999994</v>
      </c>
      <c r="Z39" s="9">
        <v>1110.5</v>
      </c>
      <c r="AA39" s="9">
        <v>1063.9000000000001</v>
      </c>
      <c r="AB39" s="9">
        <f t="shared" si="22"/>
        <v>-46.599999999999909</v>
      </c>
      <c r="AC39" s="9">
        <v>188.2</v>
      </c>
      <c r="AD39" s="9">
        <v>174.5</v>
      </c>
      <c r="AE39" s="9">
        <f t="shared" si="23"/>
        <v>-13.699999999999989</v>
      </c>
      <c r="AF39" s="9">
        <v>1111.9000000000001</v>
      </c>
      <c r="AG39" s="9">
        <v>1064.9000000000001</v>
      </c>
      <c r="AH39" s="9">
        <f t="shared" si="24"/>
        <v>-47</v>
      </c>
      <c r="AI39" s="9">
        <v>188.6</v>
      </c>
      <c r="AJ39" s="9">
        <v>174.9</v>
      </c>
      <c r="AK39" s="9">
        <f t="shared" si="25"/>
        <v>-13.699999999999989</v>
      </c>
      <c r="AL39" s="9">
        <v>1117.8</v>
      </c>
      <c r="AM39" s="9">
        <v>1068.4000000000001</v>
      </c>
      <c r="AN39" s="9">
        <f t="shared" si="26"/>
        <v>-49.399999999999864</v>
      </c>
      <c r="AO39" s="9">
        <v>190.4</v>
      </c>
      <c r="AP39" s="9">
        <v>175.6</v>
      </c>
      <c r="AQ39" s="9">
        <f t="shared" si="27"/>
        <v>-14.800000000000011</v>
      </c>
    </row>
    <row r="40" spans="1:43" x14ac:dyDescent="0.25">
      <c r="A40" s="10">
        <v>39</v>
      </c>
      <c r="B40" s="9">
        <v>1108.5</v>
      </c>
      <c r="C40" s="9">
        <v>1061.4000000000001</v>
      </c>
      <c r="D40" s="9">
        <f t="shared" si="14"/>
        <v>-47.099999999999909</v>
      </c>
      <c r="E40" s="9">
        <v>186.3</v>
      </c>
      <c r="F40" s="9">
        <v>172.7</v>
      </c>
      <c r="G40" s="9">
        <f t="shared" si="15"/>
        <v>-13.600000000000023</v>
      </c>
      <c r="H40" s="9">
        <v>1123.5</v>
      </c>
      <c r="I40" s="9">
        <v>1075.5999999999999</v>
      </c>
      <c r="J40" s="9">
        <f t="shared" si="16"/>
        <v>-47.900000000000091</v>
      </c>
      <c r="K40" s="9">
        <v>203.6</v>
      </c>
      <c r="L40" s="9">
        <v>190.2</v>
      </c>
      <c r="M40" s="9">
        <f t="shared" si="17"/>
        <v>-13.400000000000006</v>
      </c>
      <c r="N40" s="9">
        <v>1110.5999999999999</v>
      </c>
      <c r="O40" s="9">
        <v>1066.3</v>
      </c>
      <c r="P40" s="9">
        <f t="shared" si="18"/>
        <v>-44.299999999999955</v>
      </c>
      <c r="Q40" s="9">
        <v>188.3</v>
      </c>
      <c r="R40" s="9">
        <v>176.8</v>
      </c>
      <c r="S40" s="9">
        <f t="shared" si="19"/>
        <v>-11.5</v>
      </c>
      <c r="T40" s="9">
        <v>1111.5</v>
      </c>
      <c r="U40" s="9">
        <v>1067.2</v>
      </c>
      <c r="V40" s="9">
        <f t="shared" si="20"/>
        <v>-44.299999999999955</v>
      </c>
      <c r="W40" s="9">
        <v>189.2</v>
      </c>
      <c r="X40" s="9">
        <v>177.7</v>
      </c>
      <c r="Y40" s="9">
        <f t="shared" si="21"/>
        <v>-11.5</v>
      </c>
      <c r="Z40" s="9">
        <v>1111.8</v>
      </c>
      <c r="AA40" s="9">
        <v>1067.5</v>
      </c>
      <c r="AB40" s="9">
        <f t="shared" si="22"/>
        <v>-44.299999999999955</v>
      </c>
      <c r="AC40" s="9">
        <v>189.5</v>
      </c>
      <c r="AD40" s="9">
        <v>178</v>
      </c>
      <c r="AE40" s="9">
        <f t="shared" si="23"/>
        <v>-11.5</v>
      </c>
      <c r="AF40" s="9">
        <v>1113.5</v>
      </c>
      <c r="AG40" s="9">
        <v>1068.5</v>
      </c>
      <c r="AH40" s="9">
        <f t="shared" si="24"/>
        <v>-45</v>
      </c>
      <c r="AI40" s="9">
        <v>190.2</v>
      </c>
      <c r="AJ40" s="9">
        <v>178.4</v>
      </c>
      <c r="AK40" s="9">
        <f t="shared" si="25"/>
        <v>-11.799999999999983</v>
      </c>
      <c r="AL40" s="9">
        <v>1119.0999999999999</v>
      </c>
      <c r="AM40" s="9">
        <v>1072.7</v>
      </c>
      <c r="AN40" s="9">
        <f t="shared" si="26"/>
        <v>-46.399999999999864</v>
      </c>
      <c r="AO40" s="9">
        <v>191.9</v>
      </c>
      <c r="AP40" s="9">
        <v>179.5</v>
      </c>
      <c r="AQ40" s="9">
        <f t="shared" si="27"/>
        <v>-12.400000000000006</v>
      </c>
    </row>
    <row r="41" spans="1:43" x14ac:dyDescent="0.25">
      <c r="A41" s="10">
        <v>40</v>
      </c>
      <c r="B41" s="9">
        <v>1107.3</v>
      </c>
      <c r="C41" s="9">
        <v>1063.2</v>
      </c>
      <c r="D41" s="9">
        <f t="shared" si="14"/>
        <v>-44.099999999999909</v>
      </c>
      <c r="E41" s="9">
        <v>185.5</v>
      </c>
      <c r="F41" s="9">
        <v>174.9</v>
      </c>
      <c r="G41" s="9">
        <f t="shared" si="15"/>
        <v>-10.599999999999994</v>
      </c>
      <c r="H41" s="9">
        <v>1120.5999999999999</v>
      </c>
      <c r="I41" s="9">
        <v>1073.9000000000001</v>
      </c>
      <c r="J41" s="9">
        <f t="shared" si="16"/>
        <v>-46.699999999999818</v>
      </c>
      <c r="K41" s="9">
        <v>201.2</v>
      </c>
      <c r="L41" s="9">
        <v>187.3</v>
      </c>
      <c r="M41" s="9">
        <f t="shared" si="17"/>
        <v>-13.899999999999977</v>
      </c>
      <c r="N41" s="9">
        <v>1112.2</v>
      </c>
      <c r="O41" s="9">
        <v>1061.9000000000001</v>
      </c>
      <c r="P41" s="9">
        <f t="shared" si="18"/>
        <v>-50.299999999999955</v>
      </c>
      <c r="Q41" s="9">
        <v>189.7</v>
      </c>
      <c r="R41" s="9">
        <v>173</v>
      </c>
      <c r="S41" s="9">
        <f t="shared" si="19"/>
        <v>-16.699999999999989</v>
      </c>
      <c r="T41" s="9">
        <v>1113.2</v>
      </c>
      <c r="U41" s="9">
        <v>1062.3</v>
      </c>
      <c r="V41" s="9">
        <f t="shared" si="20"/>
        <v>-50.900000000000091</v>
      </c>
      <c r="W41" s="9">
        <v>190.7</v>
      </c>
      <c r="X41" s="9">
        <v>173.4</v>
      </c>
      <c r="Y41" s="9">
        <f t="shared" si="21"/>
        <v>-17.299999999999983</v>
      </c>
      <c r="Z41" s="9">
        <v>1113.2</v>
      </c>
      <c r="AA41" s="9">
        <v>1062.3</v>
      </c>
      <c r="AB41" s="9">
        <f t="shared" si="22"/>
        <v>-50.900000000000091</v>
      </c>
      <c r="AC41" s="9">
        <v>190.8</v>
      </c>
      <c r="AD41" s="9">
        <v>173.4</v>
      </c>
      <c r="AE41" s="9">
        <f t="shared" si="23"/>
        <v>-17.400000000000006</v>
      </c>
      <c r="AF41" s="9">
        <v>1115</v>
      </c>
      <c r="AG41" s="9">
        <v>1063</v>
      </c>
      <c r="AH41" s="9">
        <f t="shared" si="24"/>
        <v>-52</v>
      </c>
      <c r="AI41" s="9">
        <v>191.5</v>
      </c>
      <c r="AJ41" s="9">
        <v>173.6</v>
      </c>
      <c r="AK41" s="9">
        <f t="shared" si="25"/>
        <v>-17.900000000000006</v>
      </c>
      <c r="AL41" s="9">
        <v>1121.3</v>
      </c>
      <c r="AM41" s="9">
        <v>1066.8</v>
      </c>
      <c r="AN41" s="9">
        <f t="shared" si="26"/>
        <v>-54.5</v>
      </c>
      <c r="AO41" s="9">
        <v>193.4</v>
      </c>
      <c r="AP41" s="9">
        <v>174.6</v>
      </c>
      <c r="AQ41" s="9">
        <f t="shared" si="27"/>
        <v>-18.800000000000011</v>
      </c>
    </row>
    <row r="42" spans="1:43" x14ac:dyDescent="0.25">
      <c r="A42" s="10">
        <v>41</v>
      </c>
      <c r="B42" s="9">
        <v>1109.5999999999999</v>
      </c>
      <c r="C42" s="9">
        <v>1064.5</v>
      </c>
      <c r="D42" s="9">
        <f t="shared" si="14"/>
        <v>-45.099999999999909</v>
      </c>
      <c r="E42" s="9">
        <v>187.6</v>
      </c>
      <c r="F42" s="9">
        <v>176</v>
      </c>
      <c r="G42" s="9">
        <f t="shared" si="15"/>
        <v>-11.599999999999994</v>
      </c>
      <c r="H42" s="9">
        <v>1120.4000000000001</v>
      </c>
      <c r="I42" s="9">
        <v>1073.0999999999999</v>
      </c>
      <c r="J42" s="9">
        <f t="shared" si="16"/>
        <v>-47.300000000000182</v>
      </c>
      <c r="K42" s="9">
        <v>201.1</v>
      </c>
      <c r="L42" s="9">
        <v>187.8</v>
      </c>
      <c r="M42" s="9">
        <f t="shared" si="17"/>
        <v>-13.299999999999983</v>
      </c>
      <c r="N42" s="9">
        <v>1111.0999999999999</v>
      </c>
      <c r="O42" s="9">
        <v>1067.2</v>
      </c>
      <c r="P42" s="9">
        <f t="shared" si="18"/>
        <v>-43.899999999999864</v>
      </c>
      <c r="Q42" s="9">
        <v>188.4</v>
      </c>
      <c r="R42" s="9">
        <v>177.9</v>
      </c>
      <c r="S42" s="9">
        <f t="shared" si="19"/>
        <v>-10.5</v>
      </c>
      <c r="T42" s="9">
        <v>1112.5999999999999</v>
      </c>
      <c r="U42" s="9">
        <v>1067.7</v>
      </c>
      <c r="V42" s="9">
        <f t="shared" si="20"/>
        <v>-44.899999999999864</v>
      </c>
      <c r="W42" s="9">
        <v>189.8</v>
      </c>
      <c r="X42" s="9">
        <v>178.4</v>
      </c>
      <c r="Y42" s="9">
        <f t="shared" si="21"/>
        <v>-11.400000000000006</v>
      </c>
      <c r="Z42" s="9">
        <v>1113.5</v>
      </c>
      <c r="AA42" s="9">
        <v>1067.9000000000001</v>
      </c>
      <c r="AB42" s="9">
        <f t="shared" si="22"/>
        <v>-45.599999999999909</v>
      </c>
      <c r="AC42" s="9">
        <v>190.8</v>
      </c>
      <c r="AD42" s="9">
        <v>178.6</v>
      </c>
      <c r="AE42" s="9">
        <f t="shared" si="23"/>
        <v>-12.200000000000017</v>
      </c>
      <c r="AF42" s="9">
        <v>1115.8</v>
      </c>
      <c r="AG42" s="9">
        <v>1069.2</v>
      </c>
      <c r="AH42" s="9">
        <f t="shared" si="24"/>
        <v>-46.599999999999909</v>
      </c>
      <c r="AI42" s="9">
        <v>191.9</v>
      </c>
      <c r="AJ42" s="9">
        <v>179.1</v>
      </c>
      <c r="AK42" s="9">
        <f t="shared" si="25"/>
        <v>-12.800000000000011</v>
      </c>
      <c r="AL42" s="9">
        <v>1121.5999999999999</v>
      </c>
      <c r="AM42" s="9">
        <v>1073.7</v>
      </c>
      <c r="AN42" s="9">
        <f t="shared" si="26"/>
        <v>-47.899999999999864</v>
      </c>
      <c r="AO42" s="9">
        <v>193.6</v>
      </c>
      <c r="AP42" s="9">
        <v>180.4</v>
      </c>
      <c r="AQ42" s="9">
        <f t="shared" si="27"/>
        <v>-13.199999999999989</v>
      </c>
    </row>
    <row r="43" spans="1:43" x14ac:dyDescent="0.25">
      <c r="A43" s="10">
        <v>42</v>
      </c>
      <c r="B43" s="9">
        <v>1112.9000000000001</v>
      </c>
      <c r="C43" s="9">
        <v>1063.9000000000001</v>
      </c>
      <c r="D43" s="9">
        <f t="shared" si="14"/>
        <v>-49</v>
      </c>
      <c r="E43" s="9">
        <v>191.4</v>
      </c>
      <c r="F43" s="9">
        <v>175.7</v>
      </c>
      <c r="G43" s="9">
        <f t="shared" si="15"/>
        <v>-15.700000000000017</v>
      </c>
      <c r="H43" s="9">
        <v>1121.5999999999999</v>
      </c>
      <c r="I43" s="9">
        <v>1074.5</v>
      </c>
      <c r="J43" s="9">
        <f t="shared" si="16"/>
        <v>-47.099999999999909</v>
      </c>
      <c r="K43" s="9">
        <v>202.9</v>
      </c>
      <c r="L43" s="9">
        <v>189</v>
      </c>
      <c r="M43" s="9">
        <f t="shared" si="17"/>
        <v>-13.900000000000006</v>
      </c>
      <c r="N43" s="9">
        <v>1104.8</v>
      </c>
      <c r="O43" s="9">
        <v>1063.4000000000001</v>
      </c>
      <c r="P43" s="9">
        <f t="shared" si="18"/>
        <v>-41.399999999999864</v>
      </c>
      <c r="Q43" s="9">
        <v>184.2</v>
      </c>
      <c r="R43" s="9">
        <v>174.7</v>
      </c>
      <c r="S43" s="9">
        <f t="shared" si="19"/>
        <v>-9.5</v>
      </c>
      <c r="T43" s="9">
        <v>1105</v>
      </c>
      <c r="U43" s="9">
        <v>1064.2</v>
      </c>
      <c r="V43" s="9">
        <f t="shared" si="20"/>
        <v>-40.799999999999955</v>
      </c>
      <c r="W43" s="9">
        <v>184.3</v>
      </c>
      <c r="X43" s="9">
        <v>175.5</v>
      </c>
      <c r="Y43" s="9">
        <f t="shared" si="21"/>
        <v>-8.8000000000000114</v>
      </c>
      <c r="Z43" s="9">
        <v>1105</v>
      </c>
      <c r="AA43" s="9">
        <v>1064.2</v>
      </c>
      <c r="AB43" s="9">
        <f t="shared" si="22"/>
        <v>-40.799999999999955</v>
      </c>
      <c r="AC43" s="9">
        <v>184.3</v>
      </c>
      <c r="AD43" s="9">
        <v>175.5</v>
      </c>
      <c r="AE43" s="9">
        <f t="shared" si="23"/>
        <v>-8.8000000000000114</v>
      </c>
      <c r="AF43" s="9">
        <v>1106.4000000000001</v>
      </c>
      <c r="AG43" s="9">
        <v>1064.9000000000001</v>
      </c>
      <c r="AH43" s="9">
        <f t="shared" si="24"/>
        <v>-41.5</v>
      </c>
      <c r="AI43" s="9">
        <v>184.8</v>
      </c>
      <c r="AJ43" s="9">
        <v>175.8</v>
      </c>
      <c r="AK43" s="9">
        <f t="shared" si="25"/>
        <v>-9</v>
      </c>
      <c r="AL43" s="9">
        <v>1111.3</v>
      </c>
      <c r="AM43" s="9">
        <v>1068.5</v>
      </c>
      <c r="AN43" s="9">
        <f t="shared" si="26"/>
        <v>-42.799999999999955</v>
      </c>
      <c r="AO43" s="9">
        <v>186.1</v>
      </c>
      <c r="AP43" s="9">
        <v>176.5</v>
      </c>
      <c r="AQ43" s="9">
        <f t="shared" si="27"/>
        <v>-9.5999999999999943</v>
      </c>
    </row>
    <row r="44" spans="1:43" x14ac:dyDescent="0.25">
      <c r="A44" s="10">
        <v>43</v>
      </c>
      <c r="B44" s="9">
        <v>1109.5</v>
      </c>
      <c r="C44" s="9">
        <v>1066.0999999999999</v>
      </c>
      <c r="D44" s="9">
        <f t="shared" si="14"/>
        <v>-43.400000000000091</v>
      </c>
      <c r="E44" s="9">
        <v>188</v>
      </c>
      <c r="F44" s="9">
        <v>177.9</v>
      </c>
      <c r="G44" s="9">
        <f t="shared" si="15"/>
        <v>-10.099999999999994</v>
      </c>
      <c r="H44" s="9">
        <v>1118.7</v>
      </c>
      <c r="I44" s="9">
        <v>1073.9000000000001</v>
      </c>
      <c r="J44" s="9">
        <f t="shared" si="16"/>
        <v>-44.799999999999955</v>
      </c>
      <c r="K44" s="9">
        <v>200.3</v>
      </c>
      <c r="L44" s="9">
        <v>188.7</v>
      </c>
      <c r="M44" s="9">
        <f t="shared" si="17"/>
        <v>-11.600000000000023</v>
      </c>
      <c r="N44" s="9">
        <v>1109.9000000000001</v>
      </c>
      <c r="O44" s="9">
        <v>1061.2</v>
      </c>
      <c r="P44" s="9">
        <f t="shared" si="18"/>
        <v>-48.700000000000045</v>
      </c>
      <c r="Q44" s="9">
        <v>187.8</v>
      </c>
      <c r="R44" s="9">
        <v>172.8</v>
      </c>
      <c r="S44" s="9">
        <f t="shared" si="19"/>
        <v>-15</v>
      </c>
      <c r="T44" s="9">
        <v>1110.7</v>
      </c>
      <c r="U44" s="9">
        <v>1061.5999999999999</v>
      </c>
      <c r="V44" s="9">
        <f t="shared" si="20"/>
        <v>-49.100000000000136</v>
      </c>
      <c r="W44" s="9">
        <v>188.8</v>
      </c>
      <c r="X44" s="9">
        <v>173.2</v>
      </c>
      <c r="Y44" s="9">
        <f t="shared" si="21"/>
        <v>-15.600000000000023</v>
      </c>
      <c r="Z44" s="9">
        <v>1112.9000000000001</v>
      </c>
      <c r="AA44" s="9">
        <v>1061.7</v>
      </c>
      <c r="AB44" s="9">
        <f t="shared" si="22"/>
        <v>-51.200000000000045</v>
      </c>
      <c r="AC44" s="9">
        <v>190.9</v>
      </c>
      <c r="AD44" s="9">
        <v>173.3</v>
      </c>
      <c r="AE44" s="9">
        <f t="shared" si="23"/>
        <v>-17.599999999999994</v>
      </c>
      <c r="AF44" s="9">
        <v>1114.5</v>
      </c>
      <c r="AG44" s="9">
        <v>1062.5</v>
      </c>
      <c r="AH44" s="9">
        <f t="shared" si="24"/>
        <v>-52</v>
      </c>
      <c r="AI44" s="9">
        <v>191.4</v>
      </c>
      <c r="AJ44" s="9">
        <v>173.6</v>
      </c>
      <c r="AK44" s="9">
        <f t="shared" si="25"/>
        <v>-17.800000000000011</v>
      </c>
      <c r="AL44" s="9">
        <v>1119.5999999999999</v>
      </c>
      <c r="AM44" s="9">
        <v>1065.9000000000001</v>
      </c>
      <c r="AN44" s="9">
        <f t="shared" si="26"/>
        <v>-53.699999999999818</v>
      </c>
      <c r="AO44" s="9">
        <v>192.5</v>
      </c>
      <c r="AP44" s="9">
        <v>174.3</v>
      </c>
      <c r="AQ44" s="9">
        <f t="shared" si="27"/>
        <v>-18.199999999999989</v>
      </c>
    </row>
    <row r="45" spans="1:43" x14ac:dyDescent="0.25">
      <c r="A45" s="10">
        <v>44</v>
      </c>
      <c r="B45" s="9">
        <v>1112.7</v>
      </c>
      <c r="C45" s="9">
        <v>1067</v>
      </c>
      <c r="D45" s="9">
        <f t="shared" si="14"/>
        <v>-45.700000000000045</v>
      </c>
      <c r="E45" s="9">
        <v>190.5</v>
      </c>
      <c r="F45" s="9">
        <v>178.1</v>
      </c>
      <c r="G45" s="9">
        <f t="shared" si="15"/>
        <v>-12.400000000000006</v>
      </c>
      <c r="H45" s="9">
        <v>1126.2</v>
      </c>
      <c r="I45" s="9">
        <v>1072.7</v>
      </c>
      <c r="J45" s="9">
        <f t="shared" si="16"/>
        <v>-53.5</v>
      </c>
      <c r="K45" s="9">
        <v>206.3</v>
      </c>
      <c r="L45" s="9">
        <v>187.6</v>
      </c>
      <c r="M45" s="9">
        <f t="shared" si="17"/>
        <v>-18.700000000000017</v>
      </c>
      <c r="N45" s="9">
        <v>1110.5</v>
      </c>
      <c r="O45" s="9">
        <v>1066.4000000000001</v>
      </c>
      <c r="P45" s="9">
        <f t="shared" si="18"/>
        <v>-44.099999999999909</v>
      </c>
      <c r="Q45" s="9">
        <v>188.4</v>
      </c>
      <c r="R45" s="9">
        <v>177.2</v>
      </c>
      <c r="S45" s="9">
        <f t="shared" si="19"/>
        <v>-11.200000000000017</v>
      </c>
      <c r="T45" s="9">
        <v>1111.4000000000001</v>
      </c>
      <c r="U45" s="9">
        <v>1067.3</v>
      </c>
      <c r="V45" s="9">
        <f t="shared" si="20"/>
        <v>-44.100000000000136</v>
      </c>
      <c r="W45" s="9">
        <v>189.4</v>
      </c>
      <c r="X45" s="9">
        <v>178.1</v>
      </c>
      <c r="Y45" s="9">
        <f t="shared" si="21"/>
        <v>-11.300000000000011</v>
      </c>
      <c r="Z45" s="9">
        <v>1111.5999999999999</v>
      </c>
      <c r="AA45" s="9">
        <v>1067.5</v>
      </c>
      <c r="AB45" s="9">
        <f t="shared" si="22"/>
        <v>-44.099999999999909</v>
      </c>
      <c r="AC45" s="9">
        <v>189.6</v>
      </c>
      <c r="AD45" s="9">
        <v>178.3</v>
      </c>
      <c r="AE45" s="9">
        <f t="shared" si="23"/>
        <v>-11.299999999999983</v>
      </c>
      <c r="AF45" s="9">
        <v>1112.9000000000001</v>
      </c>
      <c r="AG45" s="9">
        <v>1068.4000000000001</v>
      </c>
      <c r="AH45" s="9">
        <f t="shared" si="24"/>
        <v>-44.5</v>
      </c>
      <c r="AI45" s="9">
        <v>190</v>
      </c>
      <c r="AJ45" s="9">
        <v>178.6</v>
      </c>
      <c r="AK45" s="9">
        <f t="shared" si="25"/>
        <v>-11.400000000000006</v>
      </c>
      <c r="AL45" s="9">
        <v>1118</v>
      </c>
      <c r="AM45" s="9">
        <v>1072.8</v>
      </c>
      <c r="AN45" s="9">
        <f t="shared" si="26"/>
        <v>-45.200000000000045</v>
      </c>
      <c r="AO45" s="9">
        <v>191.2</v>
      </c>
      <c r="AP45" s="9">
        <v>179.6</v>
      </c>
      <c r="AQ45" s="9">
        <f t="shared" si="27"/>
        <v>-11.599999999999994</v>
      </c>
    </row>
    <row r="46" spans="1:43" x14ac:dyDescent="0.25">
      <c r="A46" s="10">
        <v>45</v>
      </c>
      <c r="B46" s="9">
        <v>1108.9000000000001</v>
      </c>
      <c r="C46" s="9">
        <v>1064.9000000000001</v>
      </c>
      <c r="D46" s="9">
        <f t="shared" si="14"/>
        <v>-44</v>
      </c>
      <c r="E46" s="9">
        <v>186.9</v>
      </c>
      <c r="F46" s="9">
        <v>175.5</v>
      </c>
      <c r="G46" s="9">
        <f t="shared" si="15"/>
        <v>-11.400000000000006</v>
      </c>
      <c r="H46" s="9">
        <v>1124.3</v>
      </c>
      <c r="I46" s="9">
        <v>1069.9000000000001</v>
      </c>
      <c r="J46" s="9">
        <f t="shared" si="16"/>
        <v>-54.399999999999864</v>
      </c>
      <c r="K46" s="9">
        <v>204.9</v>
      </c>
      <c r="L46" s="9">
        <v>184</v>
      </c>
      <c r="M46" s="9">
        <f t="shared" si="17"/>
        <v>-20.900000000000006</v>
      </c>
      <c r="N46" s="9">
        <v>1113.0999999999999</v>
      </c>
      <c r="O46" s="9">
        <v>1064.0999999999999</v>
      </c>
      <c r="P46" s="9">
        <f t="shared" si="18"/>
        <v>-49</v>
      </c>
      <c r="Q46" s="9">
        <v>190.1</v>
      </c>
      <c r="R46" s="9">
        <v>174.9</v>
      </c>
      <c r="S46" s="9">
        <f t="shared" si="19"/>
        <v>-15.199999999999989</v>
      </c>
      <c r="T46" s="9">
        <v>1114.0999999999999</v>
      </c>
      <c r="U46" s="9">
        <v>1064.7</v>
      </c>
      <c r="V46" s="9">
        <f t="shared" si="20"/>
        <v>-49.399999999999864</v>
      </c>
      <c r="W46" s="9">
        <v>191.3</v>
      </c>
      <c r="X46" s="9">
        <v>175.5</v>
      </c>
      <c r="Y46" s="9">
        <f t="shared" si="21"/>
        <v>-15.800000000000011</v>
      </c>
      <c r="Z46" s="9">
        <v>1117.3</v>
      </c>
      <c r="AA46" s="9">
        <v>1065.9000000000001</v>
      </c>
      <c r="AB46" s="9">
        <f t="shared" si="22"/>
        <v>-51.399999999999864</v>
      </c>
      <c r="AC46" s="9">
        <v>194.6</v>
      </c>
      <c r="AD46" s="9">
        <v>176.7</v>
      </c>
      <c r="AE46" s="9">
        <f t="shared" si="23"/>
        <v>-17.900000000000006</v>
      </c>
      <c r="AF46" s="9">
        <v>1119.3</v>
      </c>
      <c r="AG46" s="9">
        <v>1066.7</v>
      </c>
      <c r="AH46" s="9">
        <f t="shared" si="24"/>
        <v>-52.599999999999909</v>
      </c>
      <c r="AI46" s="9">
        <v>195.3</v>
      </c>
      <c r="AJ46" s="9">
        <v>176.9</v>
      </c>
      <c r="AK46" s="9">
        <f t="shared" si="25"/>
        <v>-18.400000000000006</v>
      </c>
      <c r="AL46" s="9">
        <v>1125</v>
      </c>
      <c r="AM46" s="9">
        <v>1070.5999999999999</v>
      </c>
      <c r="AN46" s="9">
        <f t="shared" si="26"/>
        <v>-54.400000000000091</v>
      </c>
      <c r="AO46" s="9">
        <v>196.8</v>
      </c>
      <c r="AP46" s="9">
        <v>177.9</v>
      </c>
      <c r="AQ46" s="9">
        <f t="shared" si="27"/>
        <v>-18.900000000000006</v>
      </c>
    </row>
    <row r="47" spans="1:43" x14ac:dyDescent="0.25">
      <c r="A47" s="10">
        <v>46</v>
      </c>
      <c r="B47" s="9">
        <v>1106.4000000000001</v>
      </c>
      <c r="C47" s="9">
        <v>1065.9000000000001</v>
      </c>
      <c r="D47" s="9">
        <f t="shared" si="14"/>
        <v>-40.5</v>
      </c>
      <c r="E47" s="9">
        <v>184.2</v>
      </c>
      <c r="F47" s="9">
        <v>176.5</v>
      </c>
      <c r="G47" s="9">
        <f t="shared" si="15"/>
        <v>-7.6999999999999886</v>
      </c>
      <c r="H47" s="9">
        <v>1122.4000000000001</v>
      </c>
      <c r="I47" s="9">
        <v>1073.7</v>
      </c>
      <c r="J47" s="9">
        <f t="shared" si="16"/>
        <v>-48.700000000000045</v>
      </c>
      <c r="K47" s="9">
        <v>202.8</v>
      </c>
      <c r="L47" s="9">
        <v>187.2</v>
      </c>
      <c r="M47" s="9">
        <f t="shared" si="17"/>
        <v>-15.600000000000023</v>
      </c>
      <c r="N47" s="9">
        <v>1109.0999999999999</v>
      </c>
      <c r="O47" s="9">
        <v>1064.5</v>
      </c>
      <c r="P47" s="9">
        <f t="shared" si="18"/>
        <v>-44.599999999999909</v>
      </c>
      <c r="Q47" s="9">
        <v>186.7</v>
      </c>
      <c r="R47" s="9">
        <v>176</v>
      </c>
      <c r="S47" s="9">
        <f t="shared" si="19"/>
        <v>-10.699999999999989</v>
      </c>
      <c r="T47" s="9">
        <v>1109.7</v>
      </c>
      <c r="U47" s="9">
        <v>1065.3</v>
      </c>
      <c r="V47" s="9">
        <f t="shared" si="20"/>
        <v>-44.400000000000091</v>
      </c>
      <c r="W47" s="9">
        <v>187.4</v>
      </c>
      <c r="X47" s="9">
        <v>176.7</v>
      </c>
      <c r="Y47" s="9">
        <f t="shared" si="21"/>
        <v>-10.700000000000017</v>
      </c>
      <c r="Z47" s="9">
        <v>1109.7</v>
      </c>
      <c r="AA47" s="9">
        <v>1065.5</v>
      </c>
      <c r="AB47" s="9">
        <f t="shared" si="22"/>
        <v>-44.200000000000045</v>
      </c>
      <c r="AC47" s="9">
        <v>187.4</v>
      </c>
      <c r="AD47" s="9">
        <v>176.9</v>
      </c>
      <c r="AE47" s="9">
        <f t="shared" si="23"/>
        <v>-10.5</v>
      </c>
      <c r="AF47" s="9">
        <v>1111.3</v>
      </c>
      <c r="AG47" s="9">
        <v>1066.2</v>
      </c>
      <c r="AH47" s="9">
        <f t="shared" si="24"/>
        <v>-45.099999999999909</v>
      </c>
      <c r="AI47" s="9">
        <v>188</v>
      </c>
      <c r="AJ47" s="9">
        <v>177.1</v>
      </c>
      <c r="AK47" s="9">
        <f t="shared" si="25"/>
        <v>-10.900000000000006</v>
      </c>
      <c r="AL47" s="9">
        <v>1116.9000000000001</v>
      </c>
      <c r="AM47" s="9">
        <v>1070.2</v>
      </c>
      <c r="AN47" s="9">
        <f t="shared" si="26"/>
        <v>-46.700000000000045</v>
      </c>
      <c r="AO47" s="9">
        <v>189.5</v>
      </c>
      <c r="AP47" s="9">
        <v>178.2</v>
      </c>
      <c r="AQ47" s="9">
        <f t="shared" si="27"/>
        <v>-11.300000000000011</v>
      </c>
    </row>
    <row r="48" spans="1:43" x14ac:dyDescent="0.25">
      <c r="A48" s="10">
        <v>47</v>
      </c>
      <c r="B48" s="9">
        <v>1111.3</v>
      </c>
      <c r="C48" s="9">
        <v>1065.5</v>
      </c>
      <c r="D48" s="9">
        <f t="shared" si="14"/>
        <v>-45.799999999999955</v>
      </c>
      <c r="E48" s="9">
        <v>189.1</v>
      </c>
      <c r="F48" s="9">
        <v>177</v>
      </c>
      <c r="G48" s="9">
        <f t="shared" si="15"/>
        <v>-12.099999999999994</v>
      </c>
      <c r="H48" s="9">
        <v>1120.4000000000001</v>
      </c>
      <c r="I48" s="9">
        <v>1072</v>
      </c>
      <c r="J48" s="9">
        <f t="shared" si="16"/>
        <v>-48.400000000000091</v>
      </c>
      <c r="K48" s="9">
        <v>201.2</v>
      </c>
      <c r="L48" s="9">
        <v>185.5</v>
      </c>
      <c r="M48" s="9">
        <f t="shared" si="17"/>
        <v>-15.699999999999989</v>
      </c>
      <c r="N48" s="9">
        <v>1108.5999999999999</v>
      </c>
      <c r="O48" s="9">
        <v>1064.5</v>
      </c>
      <c r="P48" s="9">
        <f t="shared" si="18"/>
        <v>-44.099999999999909</v>
      </c>
      <c r="Q48" s="9">
        <v>186.5</v>
      </c>
      <c r="R48" s="9">
        <v>175.5</v>
      </c>
      <c r="S48" s="9">
        <f t="shared" si="19"/>
        <v>-11</v>
      </c>
      <c r="T48" s="9">
        <v>1109.7</v>
      </c>
      <c r="U48" s="9">
        <v>1065</v>
      </c>
      <c r="V48" s="9">
        <f t="shared" si="20"/>
        <v>-44.700000000000045</v>
      </c>
      <c r="W48" s="9">
        <v>187.5</v>
      </c>
      <c r="X48" s="9">
        <v>176.1</v>
      </c>
      <c r="Y48" s="9">
        <f t="shared" si="21"/>
        <v>-11.400000000000006</v>
      </c>
      <c r="Z48" s="9">
        <v>1109.9000000000001</v>
      </c>
      <c r="AA48" s="9">
        <v>1065.3</v>
      </c>
      <c r="AB48" s="9">
        <f t="shared" si="22"/>
        <v>-44.600000000000136</v>
      </c>
      <c r="AC48" s="9">
        <v>187.8</v>
      </c>
      <c r="AD48" s="9">
        <v>176.3</v>
      </c>
      <c r="AE48" s="9">
        <f t="shared" si="23"/>
        <v>-11.5</v>
      </c>
      <c r="AF48" s="9">
        <v>1111.5</v>
      </c>
      <c r="AG48" s="9">
        <v>1066.0999999999999</v>
      </c>
      <c r="AH48" s="9">
        <f t="shared" si="24"/>
        <v>-45.400000000000091</v>
      </c>
      <c r="AI48" s="9">
        <v>188.3</v>
      </c>
      <c r="AJ48" s="9">
        <v>176.6</v>
      </c>
      <c r="AK48" s="9">
        <f t="shared" si="25"/>
        <v>-11.700000000000017</v>
      </c>
      <c r="AL48" s="9">
        <v>1116.8</v>
      </c>
      <c r="AM48" s="9">
        <v>1069.8</v>
      </c>
      <c r="AN48" s="9">
        <f t="shared" si="26"/>
        <v>-47</v>
      </c>
      <c r="AO48" s="9">
        <v>189.7</v>
      </c>
      <c r="AP48" s="9">
        <v>177.6</v>
      </c>
      <c r="AQ48" s="9">
        <f t="shared" si="27"/>
        <v>-12.099999999999994</v>
      </c>
    </row>
    <row r="49" spans="1:43" x14ac:dyDescent="0.25">
      <c r="A49" s="10">
        <v>48</v>
      </c>
      <c r="B49" s="9">
        <v>1104.8</v>
      </c>
      <c r="C49" s="9">
        <v>1064</v>
      </c>
      <c r="D49" s="9">
        <f t="shared" si="14"/>
        <v>-40.799999999999955</v>
      </c>
      <c r="E49" s="9">
        <v>183.7</v>
      </c>
      <c r="F49" s="9">
        <v>176.1</v>
      </c>
      <c r="G49" s="9">
        <f t="shared" si="15"/>
        <v>-7.5999999999999943</v>
      </c>
      <c r="H49" s="9">
        <v>1119</v>
      </c>
      <c r="I49" s="9">
        <v>1073.5</v>
      </c>
      <c r="J49" s="9">
        <f t="shared" si="16"/>
        <v>-45.5</v>
      </c>
      <c r="K49" s="9">
        <v>200</v>
      </c>
      <c r="L49" s="9">
        <v>188.2</v>
      </c>
      <c r="M49" s="9">
        <f t="shared" si="17"/>
        <v>-11.800000000000011</v>
      </c>
      <c r="N49" s="9">
        <v>1114.2</v>
      </c>
      <c r="O49" s="9">
        <v>1063.5999999999999</v>
      </c>
      <c r="P49" s="9">
        <f t="shared" si="18"/>
        <v>-50.600000000000136</v>
      </c>
      <c r="Q49" s="9">
        <v>192.3</v>
      </c>
      <c r="R49" s="9">
        <v>174.3</v>
      </c>
      <c r="S49" s="9">
        <f t="shared" si="19"/>
        <v>-18</v>
      </c>
      <c r="T49" s="9">
        <v>1115.9000000000001</v>
      </c>
      <c r="U49" s="9">
        <v>1064.5</v>
      </c>
      <c r="V49" s="9">
        <f t="shared" si="20"/>
        <v>-51.400000000000091</v>
      </c>
      <c r="W49" s="9">
        <v>194.2</v>
      </c>
      <c r="X49" s="9">
        <v>175.5</v>
      </c>
      <c r="Y49" s="9">
        <f t="shared" si="21"/>
        <v>-18.699999999999989</v>
      </c>
      <c r="Z49" s="9">
        <v>1117.5999999999999</v>
      </c>
      <c r="AA49" s="9">
        <v>1066</v>
      </c>
      <c r="AB49" s="9">
        <f t="shared" si="22"/>
        <v>-51.599999999999909</v>
      </c>
      <c r="AC49" s="9">
        <v>195.7</v>
      </c>
      <c r="AD49" s="9">
        <v>176.8</v>
      </c>
      <c r="AE49" s="9">
        <f t="shared" si="23"/>
        <v>-18.899999999999977</v>
      </c>
      <c r="AF49" s="9">
        <v>1119.5999999999999</v>
      </c>
      <c r="AG49" s="9">
        <v>1067</v>
      </c>
      <c r="AH49" s="9">
        <f t="shared" si="24"/>
        <v>-52.599999999999909</v>
      </c>
      <c r="AI49" s="9">
        <v>196.5</v>
      </c>
      <c r="AJ49" s="9">
        <v>177.1</v>
      </c>
      <c r="AK49" s="9">
        <f t="shared" si="25"/>
        <v>-19.400000000000006</v>
      </c>
      <c r="AL49" s="9">
        <v>1125.8</v>
      </c>
      <c r="AM49" s="9">
        <v>1070.7</v>
      </c>
      <c r="AN49" s="9">
        <f t="shared" si="26"/>
        <v>-55.099999999999909</v>
      </c>
      <c r="AO49" s="9">
        <v>198.3</v>
      </c>
      <c r="AP49" s="9">
        <v>177.9</v>
      </c>
      <c r="AQ49" s="9">
        <f t="shared" si="27"/>
        <v>-20.400000000000006</v>
      </c>
    </row>
    <row r="50" spans="1:43" x14ac:dyDescent="0.25">
      <c r="A50" s="10">
        <v>49</v>
      </c>
      <c r="B50" s="9">
        <v>1110.2</v>
      </c>
      <c r="C50" s="9">
        <v>1063.7</v>
      </c>
      <c r="D50" s="9">
        <f t="shared" si="14"/>
        <v>-46.5</v>
      </c>
      <c r="E50" s="9">
        <v>187.5</v>
      </c>
      <c r="F50" s="9">
        <v>175.6</v>
      </c>
      <c r="G50" s="9">
        <f t="shared" si="15"/>
        <v>-11.900000000000006</v>
      </c>
      <c r="H50" s="9">
        <v>1118.5</v>
      </c>
      <c r="I50" s="9">
        <v>1076.3</v>
      </c>
      <c r="J50" s="9">
        <f t="shared" si="16"/>
        <v>-42.200000000000045</v>
      </c>
      <c r="K50" s="9">
        <v>199.5</v>
      </c>
      <c r="L50" s="9">
        <v>190.8</v>
      </c>
      <c r="M50" s="9">
        <f t="shared" si="17"/>
        <v>-8.6999999999999886</v>
      </c>
      <c r="N50" s="9">
        <v>1106.0999999999999</v>
      </c>
      <c r="O50" s="9">
        <v>1063.7</v>
      </c>
      <c r="P50" s="9">
        <f t="shared" si="18"/>
        <v>-42.399999999999864</v>
      </c>
      <c r="Q50" s="9">
        <v>184.6</v>
      </c>
      <c r="R50" s="9">
        <v>175.3</v>
      </c>
      <c r="S50" s="9">
        <f t="shared" si="19"/>
        <v>-9.2999999999999829</v>
      </c>
      <c r="T50" s="9">
        <v>1106.7</v>
      </c>
      <c r="U50" s="9">
        <v>1064.3</v>
      </c>
      <c r="V50" s="9">
        <f t="shared" si="20"/>
        <v>-42.400000000000091</v>
      </c>
      <c r="W50" s="9">
        <v>185.1</v>
      </c>
      <c r="X50" s="9">
        <v>175.9</v>
      </c>
      <c r="Y50" s="9">
        <f t="shared" si="21"/>
        <v>-9.1999999999999886</v>
      </c>
      <c r="Z50" s="9">
        <v>1106.8</v>
      </c>
      <c r="AA50" s="9">
        <v>1064.7</v>
      </c>
      <c r="AB50" s="9">
        <f t="shared" si="22"/>
        <v>-42.099999999999909</v>
      </c>
      <c r="AC50" s="9">
        <v>185.3</v>
      </c>
      <c r="AD50" s="9">
        <v>176.3</v>
      </c>
      <c r="AE50" s="9">
        <f t="shared" si="23"/>
        <v>-9</v>
      </c>
      <c r="AF50" s="9">
        <v>1108.2</v>
      </c>
      <c r="AG50" s="9">
        <v>1065.7</v>
      </c>
      <c r="AH50" s="9">
        <f t="shared" si="24"/>
        <v>-42.5</v>
      </c>
      <c r="AI50" s="9">
        <v>185.8</v>
      </c>
      <c r="AJ50" s="9">
        <v>176.7</v>
      </c>
      <c r="AK50" s="9">
        <f t="shared" si="25"/>
        <v>-9.1000000000000227</v>
      </c>
      <c r="AL50" s="9">
        <v>1113.5</v>
      </c>
      <c r="AM50" s="9">
        <v>1069.9000000000001</v>
      </c>
      <c r="AN50" s="9">
        <f t="shared" si="26"/>
        <v>-43.599999999999909</v>
      </c>
      <c r="AO50" s="9">
        <v>187.1</v>
      </c>
      <c r="AP50" s="9">
        <v>177.8</v>
      </c>
      <c r="AQ50" s="9">
        <f t="shared" si="27"/>
        <v>-9.2999999999999829</v>
      </c>
    </row>
    <row r="51" spans="1:43" x14ac:dyDescent="0.25">
      <c r="A51" s="10">
        <v>50</v>
      </c>
      <c r="B51" s="9">
        <v>1110.5999999999999</v>
      </c>
      <c r="C51" s="9">
        <v>1065.5</v>
      </c>
      <c r="D51" s="9">
        <f t="shared" si="14"/>
        <v>-45.099999999999909</v>
      </c>
      <c r="E51" s="9">
        <v>188.2</v>
      </c>
      <c r="F51" s="9">
        <v>176.8</v>
      </c>
      <c r="G51" s="9">
        <f t="shared" si="15"/>
        <v>-11.399999999999977</v>
      </c>
      <c r="H51" s="9">
        <v>1119.5999999999999</v>
      </c>
      <c r="I51" s="9">
        <v>1075.2</v>
      </c>
      <c r="J51" s="9">
        <f t="shared" si="16"/>
        <v>-44.399999999999864</v>
      </c>
      <c r="K51" s="9">
        <v>200.3</v>
      </c>
      <c r="L51" s="9">
        <v>189.2</v>
      </c>
      <c r="M51" s="9">
        <f t="shared" si="17"/>
        <v>-11.100000000000023</v>
      </c>
      <c r="N51" s="9">
        <v>1110.9000000000001</v>
      </c>
      <c r="O51" s="9">
        <v>1065.7</v>
      </c>
      <c r="P51" s="9">
        <f t="shared" si="18"/>
        <v>-45.200000000000045</v>
      </c>
      <c r="Q51" s="9">
        <v>188.1</v>
      </c>
      <c r="R51" s="9">
        <v>176</v>
      </c>
      <c r="S51" s="9">
        <f t="shared" si="19"/>
        <v>-12.099999999999994</v>
      </c>
      <c r="T51" s="9">
        <v>1112.3</v>
      </c>
      <c r="U51" s="9">
        <v>1066.3</v>
      </c>
      <c r="V51" s="9">
        <f t="shared" si="20"/>
        <v>-46</v>
      </c>
      <c r="W51" s="9">
        <v>189.6</v>
      </c>
      <c r="X51" s="9">
        <v>176.6</v>
      </c>
      <c r="Y51" s="9">
        <f t="shared" si="21"/>
        <v>-13</v>
      </c>
      <c r="Z51" s="9">
        <v>1112.7</v>
      </c>
      <c r="AA51" s="9">
        <v>1066.3</v>
      </c>
      <c r="AB51" s="9">
        <f t="shared" si="22"/>
        <v>-46.400000000000091</v>
      </c>
      <c r="AC51" s="9">
        <v>190</v>
      </c>
      <c r="AD51" s="9">
        <v>176.6</v>
      </c>
      <c r="AE51" s="9">
        <f t="shared" si="23"/>
        <v>-13.400000000000006</v>
      </c>
      <c r="AF51" s="9">
        <v>1114.4000000000001</v>
      </c>
      <c r="AG51" s="9">
        <v>1067.0999999999999</v>
      </c>
      <c r="AH51" s="9">
        <f t="shared" si="24"/>
        <v>-47.300000000000182</v>
      </c>
      <c r="AI51" s="9">
        <v>190.6</v>
      </c>
      <c r="AJ51" s="9">
        <v>176.9</v>
      </c>
      <c r="AK51" s="9">
        <f t="shared" si="25"/>
        <v>-13.699999999999989</v>
      </c>
      <c r="AL51" s="9">
        <v>1120</v>
      </c>
      <c r="AM51" s="9">
        <v>1071.3</v>
      </c>
      <c r="AN51" s="9">
        <f t="shared" si="26"/>
        <v>-48.700000000000045</v>
      </c>
      <c r="AO51" s="9">
        <v>192.2</v>
      </c>
      <c r="AP51" s="9">
        <v>177.9</v>
      </c>
      <c r="AQ51" s="9">
        <f t="shared" si="27"/>
        <v>-14.299999999999983</v>
      </c>
    </row>
    <row r="52" spans="1:43" x14ac:dyDescent="0.25">
      <c r="A52" s="10">
        <v>51</v>
      </c>
      <c r="B52" s="9">
        <v>1111.9000000000001</v>
      </c>
      <c r="C52" s="9">
        <v>1066.5999999999999</v>
      </c>
      <c r="D52" s="9">
        <f t="shared" si="14"/>
        <v>-45.300000000000182</v>
      </c>
      <c r="E52" s="9">
        <v>189.4</v>
      </c>
      <c r="F52" s="9">
        <v>177.9</v>
      </c>
      <c r="G52" s="9">
        <f t="shared" si="15"/>
        <v>-11.5</v>
      </c>
      <c r="H52" s="9">
        <v>1119.3</v>
      </c>
      <c r="I52" s="9">
        <v>1073.5</v>
      </c>
      <c r="J52" s="9">
        <f t="shared" si="16"/>
        <v>-45.799999999999955</v>
      </c>
      <c r="K52" s="9">
        <v>200.4</v>
      </c>
      <c r="L52" s="9">
        <v>187.5</v>
      </c>
      <c r="M52" s="9">
        <f t="shared" si="17"/>
        <v>-12.900000000000006</v>
      </c>
      <c r="N52" s="9">
        <v>1109.4000000000001</v>
      </c>
      <c r="O52" s="9">
        <v>1065.2</v>
      </c>
      <c r="P52" s="9">
        <f t="shared" si="18"/>
        <v>-44.200000000000045</v>
      </c>
      <c r="Q52" s="9">
        <v>187.4</v>
      </c>
      <c r="R52" s="9">
        <v>176</v>
      </c>
      <c r="S52" s="9">
        <f t="shared" si="19"/>
        <v>-11.400000000000006</v>
      </c>
      <c r="T52" s="9">
        <v>1109.9000000000001</v>
      </c>
      <c r="U52" s="9">
        <v>1066.2</v>
      </c>
      <c r="V52" s="9">
        <f t="shared" si="20"/>
        <v>-43.700000000000045</v>
      </c>
      <c r="W52" s="9">
        <v>187.8</v>
      </c>
      <c r="X52" s="9">
        <v>177</v>
      </c>
      <c r="Y52" s="9">
        <f t="shared" si="21"/>
        <v>-10.800000000000011</v>
      </c>
      <c r="Z52" s="9">
        <v>1109.8</v>
      </c>
      <c r="AA52" s="9">
        <v>1066.4000000000001</v>
      </c>
      <c r="AB52" s="9">
        <f t="shared" si="22"/>
        <v>-43.399999999999864</v>
      </c>
      <c r="AC52" s="9">
        <v>187.8</v>
      </c>
      <c r="AD52" s="9">
        <v>177.3</v>
      </c>
      <c r="AE52" s="9">
        <f t="shared" si="23"/>
        <v>-10.5</v>
      </c>
      <c r="AF52" s="9">
        <v>1111.4000000000001</v>
      </c>
      <c r="AG52" s="9">
        <v>1067.4000000000001</v>
      </c>
      <c r="AH52" s="9">
        <f t="shared" si="24"/>
        <v>-44</v>
      </c>
      <c r="AI52" s="9">
        <v>188.5</v>
      </c>
      <c r="AJ52" s="9">
        <v>177.6</v>
      </c>
      <c r="AK52" s="9">
        <f t="shared" si="25"/>
        <v>-10.900000000000006</v>
      </c>
      <c r="AL52" s="9">
        <v>1116.9000000000001</v>
      </c>
      <c r="AM52" s="9">
        <v>1071.3</v>
      </c>
      <c r="AN52" s="9">
        <f t="shared" si="26"/>
        <v>-45.600000000000136</v>
      </c>
      <c r="AO52" s="9">
        <v>190.3</v>
      </c>
      <c r="AP52" s="9">
        <v>178.6</v>
      </c>
      <c r="AQ52" s="9">
        <f t="shared" si="27"/>
        <v>-11.700000000000017</v>
      </c>
    </row>
    <row r="53" spans="1:43" x14ac:dyDescent="0.25">
      <c r="A53" s="10">
        <v>52</v>
      </c>
      <c r="B53" s="9">
        <v>1112.2</v>
      </c>
      <c r="C53" s="9">
        <v>1067</v>
      </c>
      <c r="D53" s="9">
        <f t="shared" si="14"/>
        <v>-45.200000000000045</v>
      </c>
      <c r="E53" s="9">
        <v>189.7</v>
      </c>
      <c r="F53" s="9">
        <v>178.2</v>
      </c>
      <c r="G53" s="9">
        <f t="shared" si="15"/>
        <v>-11.5</v>
      </c>
      <c r="H53" s="9">
        <v>1121.5</v>
      </c>
      <c r="I53" s="9">
        <v>1072.8</v>
      </c>
      <c r="J53" s="9">
        <f t="shared" si="16"/>
        <v>-48.700000000000045</v>
      </c>
      <c r="K53" s="9">
        <v>201.8</v>
      </c>
      <c r="L53" s="9">
        <v>186.5</v>
      </c>
      <c r="M53" s="9">
        <f t="shared" si="17"/>
        <v>-15.300000000000011</v>
      </c>
      <c r="N53" s="9">
        <v>1107.8</v>
      </c>
      <c r="O53" s="9">
        <v>1062.5999999999999</v>
      </c>
      <c r="P53" s="9">
        <f t="shared" si="18"/>
        <v>-45.200000000000045</v>
      </c>
      <c r="Q53" s="9">
        <v>185.7</v>
      </c>
      <c r="R53" s="9">
        <v>174.2</v>
      </c>
      <c r="S53" s="9">
        <f t="shared" si="19"/>
        <v>-11.5</v>
      </c>
      <c r="T53" s="9">
        <v>1108.8</v>
      </c>
      <c r="U53" s="9">
        <v>1063.5</v>
      </c>
      <c r="V53" s="9">
        <f t="shared" si="20"/>
        <v>-45.299999999999955</v>
      </c>
      <c r="W53" s="9">
        <v>186.7</v>
      </c>
      <c r="X53" s="9">
        <v>175.1</v>
      </c>
      <c r="Y53" s="9">
        <f t="shared" si="21"/>
        <v>-11.599999999999994</v>
      </c>
      <c r="Z53" s="9">
        <v>1109.2</v>
      </c>
      <c r="AA53" s="9">
        <v>1064.2</v>
      </c>
      <c r="AB53" s="9">
        <f t="shared" si="22"/>
        <v>-45</v>
      </c>
      <c r="AC53" s="9">
        <v>187.1</v>
      </c>
      <c r="AD53" s="9">
        <v>175.8</v>
      </c>
      <c r="AE53" s="9">
        <f t="shared" si="23"/>
        <v>-11.299999999999983</v>
      </c>
      <c r="AF53" s="9">
        <v>1111</v>
      </c>
      <c r="AG53" s="9">
        <v>1064.9000000000001</v>
      </c>
      <c r="AH53" s="9">
        <f t="shared" si="24"/>
        <v>-46.099999999999909</v>
      </c>
      <c r="AI53" s="9">
        <v>187.8</v>
      </c>
      <c r="AJ53" s="9">
        <v>175.9</v>
      </c>
      <c r="AK53" s="9">
        <f t="shared" si="25"/>
        <v>-11.900000000000006</v>
      </c>
      <c r="AL53" s="9">
        <v>1116.0999999999999</v>
      </c>
      <c r="AM53" s="9">
        <v>1068.9000000000001</v>
      </c>
      <c r="AN53" s="9">
        <f t="shared" si="26"/>
        <v>-47.199999999999818</v>
      </c>
      <c r="AO53" s="9">
        <v>189</v>
      </c>
      <c r="AP53" s="9">
        <v>176.8</v>
      </c>
      <c r="AQ53" s="9">
        <f t="shared" si="27"/>
        <v>-12.199999999999989</v>
      </c>
    </row>
    <row r="54" spans="1:43" x14ac:dyDescent="0.25">
      <c r="A54" s="10">
        <v>53</v>
      </c>
      <c r="B54" s="9">
        <v>1110</v>
      </c>
      <c r="C54" s="9">
        <v>1066.8</v>
      </c>
      <c r="D54" s="9">
        <f t="shared" si="14"/>
        <v>-43.200000000000045</v>
      </c>
      <c r="E54" s="9">
        <v>188.8</v>
      </c>
      <c r="F54" s="9">
        <v>177.3</v>
      </c>
      <c r="G54" s="9">
        <f t="shared" si="15"/>
        <v>-11.5</v>
      </c>
      <c r="H54" s="9">
        <v>1120.4000000000001</v>
      </c>
      <c r="I54" s="9">
        <v>1071.5</v>
      </c>
      <c r="J54" s="9">
        <f t="shared" si="16"/>
        <v>-48.900000000000091</v>
      </c>
      <c r="K54" s="9">
        <v>201.1</v>
      </c>
      <c r="L54" s="9">
        <v>186</v>
      </c>
      <c r="M54" s="9">
        <f t="shared" si="17"/>
        <v>-15.099999999999994</v>
      </c>
      <c r="N54" s="9">
        <v>1111.5</v>
      </c>
      <c r="O54" s="9">
        <v>1063.9000000000001</v>
      </c>
      <c r="P54" s="9">
        <f t="shared" si="18"/>
        <v>-47.599999999999909</v>
      </c>
      <c r="Q54" s="9">
        <v>189.1</v>
      </c>
      <c r="R54" s="9">
        <v>175.2</v>
      </c>
      <c r="S54" s="9">
        <f t="shared" si="19"/>
        <v>-13.900000000000006</v>
      </c>
      <c r="T54" s="9">
        <v>1112.9000000000001</v>
      </c>
      <c r="U54" s="9">
        <v>1064.9000000000001</v>
      </c>
      <c r="V54" s="9">
        <f t="shared" si="20"/>
        <v>-48</v>
      </c>
      <c r="W54" s="9">
        <v>190.5</v>
      </c>
      <c r="X54" s="9">
        <v>176.4</v>
      </c>
      <c r="Y54" s="9">
        <f t="shared" si="21"/>
        <v>-14.099999999999994</v>
      </c>
      <c r="Z54" s="9">
        <v>1113.2</v>
      </c>
      <c r="AA54" s="9">
        <v>1065.9000000000001</v>
      </c>
      <c r="AB54" s="9">
        <f t="shared" si="22"/>
        <v>-47.299999999999955</v>
      </c>
      <c r="AC54" s="9">
        <v>191</v>
      </c>
      <c r="AD54" s="9">
        <v>177.3</v>
      </c>
      <c r="AE54" s="9">
        <f t="shared" si="23"/>
        <v>-13.699999999999989</v>
      </c>
      <c r="AF54" s="9">
        <v>1115.0999999999999</v>
      </c>
      <c r="AG54" s="9">
        <v>1067</v>
      </c>
      <c r="AH54" s="9">
        <f t="shared" si="24"/>
        <v>-48.099999999999909</v>
      </c>
      <c r="AI54" s="9">
        <v>191.7</v>
      </c>
      <c r="AJ54" s="9">
        <v>177.7</v>
      </c>
      <c r="AK54" s="9">
        <f t="shared" si="25"/>
        <v>-14</v>
      </c>
      <c r="AL54" s="9">
        <v>1120.5999999999999</v>
      </c>
      <c r="AM54" s="9">
        <v>1071.2</v>
      </c>
      <c r="AN54" s="9">
        <f t="shared" si="26"/>
        <v>-49.399999999999864</v>
      </c>
      <c r="AO54" s="9">
        <v>193.1</v>
      </c>
      <c r="AP54" s="9">
        <v>178.8</v>
      </c>
      <c r="AQ54" s="9">
        <f t="shared" si="27"/>
        <v>-14.299999999999983</v>
      </c>
    </row>
    <row r="55" spans="1:43" x14ac:dyDescent="0.25">
      <c r="A55" s="10">
        <v>54</v>
      </c>
      <c r="B55" s="9">
        <v>1108.4000000000001</v>
      </c>
      <c r="C55" s="9">
        <v>1067.8</v>
      </c>
      <c r="D55" s="9">
        <f t="shared" si="14"/>
        <v>-40.600000000000136</v>
      </c>
      <c r="E55" s="9">
        <v>186.5</v>
      </c>
      <c r="F55" s="9">
        <v>179.2</v>
      </c>
      <c r="G55" s="9">
        <f t="shared" si="15"/>
        <v>-7.3000000000000114</v>
      </c>
      <c r="H55" s="9">
        <v>1121.5999999999999</v>
      </c>
      <c r="I55" s="9">
        <v>1073.0999999999999</v>
      </c>
      <c r="J55" s="9">
        <f t="shared" si="16"/>
        <v>-48.5</v>
      </c>
      <c r="K55" s="9">
        <v>202.8</v>
      </c>
      <c r="L55" s="9">
        <v>186.5</v>
      </c>
      <c r="M55" s="9">
        <f t="shared" si="17"/>
        <v>-16.300000000000011</v>
      </c>
      <c r="N55" s="9">
        <v>1108</v>
      </c>
      <c r="O55" s="9">
        <v>1068.0999999999999</v>
      </c>
      <c r="P55" s="9">
        <f t="shared" si="18"/>
        <v>-39.900000000000091</v>
      </c>
      <c r="Q55" s="9">
        <v>185.2</v>
      </c>
      <c r="R55" s="9">
        <v>178.6</v>
      </c>
      <c r="S55" s="9">
        <f t="shared" si="19"/>
        <v>-6.5999999999999943</v>
      </c>
      <c r="T55" s="9">
        <v>1108.8</v>
      </c>
      <c r="U55" s="9">
        <v>1069.5999999999999</v>
      </c>
      <c r="V55" s="9">
        <f t="shared" si="20"/>
        <v>-39.200000000000045</v>
      </c>
      <c r="W55" s="9">
        <v>186</v>
      </c>
      <c r="X55" s="9">
        <v>180.1</v>
      </c>
      <c r="Y55" s="9">
        <f t="shared" si="21"/>
        <v>-5.9000000000000057</v>
      </c>
      <c r="Z55" s="9">
        <v>1108.8</v>
      </c>
      <c r="AA55" s="9">
        <v>1070.3</v>
      </c>
      <c r="AB55" s="9">
        <f t="shared" si="22"/>
        <v>-38.5</v>
      </c>
      <c r="AC55" s="9">
        <v>186</v>
      </c>
      <c r="AD55" s="9">
        <v>180.8</v>
      </c>
      <c r="AE55" s="9">
        <f t="shared" si="23"/>
        <v>-5.1999999999999886</v>
      </c>
      <c r="AF55" s="9">
        <v>1110.5</v>
      </c>
      <c r="AG55" s="9">
        <v>1071.5999999999999</v>
      </c>
      <c r="AH55" s="9">
        <f t="shared" si="24"/>
        <v>-38.900000000000091</v>
      </c>
      <c r="AI55" s="9">
        <v>186.7</v>
      </c>
      <c r="AJ55" s="9">
        <v>181.2</v>
      </c>
      <c r="AK55" s="9">
        <f t="shared" si="25"/>
        <v>-5.5</v>
      </c>
      <c r="AL55" s="9">
        <v>1115.5</v>
      </c>
      <c r="AM55" s="9">
        <v>1076.5</v>
      </c>
      <c r="AN55" s="9">
        <f t="shared" si="26"/>
        <v>-39</v>
      </c>
      <c r="AO55" s="9">
        <v>188</v>
      </c>
      <c r="AP55" s="9">
        <v>182.7</v>
      </c>
      <c r="AQ55" s="9">
        <f t="shared" si="27"/>
        <v>-5.3000000000000114</v>
      </c>
    </row>
    <row r="56" spans="1:43" x14ac:dyDescent="0.25">
      <c r="A56" s="10">
        <v>55</v>
      </c>
      <c r="B56" s="9">
        <v>1113.0999999999999</v>
      </c>
      <c r="C56" s="9">
        <v>1064.5</v>
      </c>
      <c r="D56" s="9">
        <f t="shared" si="14"/>
        <v>-48.599999999999909</v>
      </c>
      <c r="E56" s="9">
        <v>190.7</v>
      </c>
      <c r="F56" s="9">
        <v>175.7</v>
      </c>
      <c r="G56" s="9">
        <f t="shared" si="15"/>
        <v>-15</v>
      </c>
      <c r="H56" s="9">
        <v>1119.7</v>
      </c>
      <c r="I56" s="9">
        <v>1074.8</v>
      </c>
      <c r="J56" s="9">
        <f t="shared" si="16"/>
        <v>-44.900000000000091</v>
      </c>
      <c r="K56" s="9">
        <v>200.5</v>
      </c>
      <c r="L56" s="9">
        <v>189.4</v>
      </c>
      <c r="M56" s="9">
        <f t="shared" si="17"/>
        <v>-11.099999999999994</v>
      </c>
      <c r="N56" s="9">
        <v>1110.8</v>
      </c>
      <c r="O56" s="9">
        <v>1068</v>
      </c>
      <c r="P56" s="9">
        <f t="shared" si="18"/>
        <v>-42.799999999999955</v>
      </c>
      <c r="Q56" s="9">
        <v>188.6</v>
      </c>
      <c r="R56" s="9">
        <v>179.5</v>
      </c>
      <c r="S56" s="9">
        <f t="shared" si="19"/>
        <v>-9.0999999999999943</v>
      </c>
      <c r="T56" s="9">
        <v>1111.4000000000001</v>
      </c>
      <c r="U56" s="9">
        <v>1068.9000000000001</v>
      </c>
      <c r="V56" s="9">
        <f t="shared" si="20"/>
        <v>-42.5</v>
      </c>
      <c r="W56" s="9">
        <v>189.3</v>
      </c>
      <c r="X56" s="9">
        <v>180.5</v>
      </c>
      <c r="Y56" s="9">
        <f t="shared" si="21"/>
        <v>-8.8000000000000114</v>
      </c>
      <c r="Z56" s="9">
        <v>1111.7</v>
      </c>
      <c r="AA56" s="9">
        <v>1069.5</v>
      </c>
      <c r="AB56" s="9">
        <f t="shared" si="22"/>
        <v>-42.200000000000045</v>
      </c>
      <c r="AC56" s="9">
        <v>189.5</v>
      </c>
      <c r="AD56" s="9">
        <v>181.1</v>
      </c>
      <c r="AE56" s="9">
        <f t="shared" si="23"/>
        <v>-8.4000000000000057</v>
      </c>
      <c r="AF56" s="9">
        <v>1113</v>
      </c>
      <c r="AG56" s="9">
        <v>1070.5999999999999</v>
      </c>
      <c r="AH56" s="9">
        <f t="shared" si="24"/>
        <v>-42.400000000000091</v>
      </c>
      <c r="AI56" s="9">
        <v>190</v>
      </c>
      <c r="AJ56" s="9">
        <v>181.5</v>
      </c>
      <c r="AK56" s="9">
        <f t="shared" si="25"/>
        <v>-8.5</v>
      </c>
      <c r="AL56" s="9">
        <v>1118</v>
      </c>
      <c r="AM56" s="9">
        <v>1075.0999999999999</v>
      </c>
      <c r="AN56" s="9">
        <f t="shared" si="26"/>
        <v>-42.900000000000091</v>
      </c>
      <c r="AO56" s="9">
        <v>191.2</v>
      </c>
      <c r="AP56" s="9">
        <v>182.6</v>
      </c>
      <c r="AQ56" s="9">
        <f t="shared" si="27"/>
        <v>-8.5999999999999943</v>
      </c>
    </row>
    <row r="57" spans="1:43" x14ac:dyDescent="0.25">
      <c r="A57" s="10">
        <v>56</v>
      </c>
      <c r="B57" s="9">
        <v>1111.3</v>
      </c>
      <c r="C57" s="9">
        <v>1062.5</v>
      </c>
      <c r="D57" s="9">
        <f t="shared" si="14"/>
        <v>-48.799999999999955</v>
      </c>
      <c r="E57" s="9">
        <v>188.4</v>
      </c>
      <c r="F57" s="9">
        <v>173.7</v>
      </c>
      <c r="G57" s="9">
        <f t="shared" si="15"/>
        <v>-14.700000000000017</v>
      </c>
      <c r="H57" s="9">
        <v>1120.9000000000001</v>
      </c>
      <c r="I57" s="9">
        <v>1074.0999999999999</v>
      </c>
      <c r="J57" s="9">
        <f t="shared" si="16"/>
        <v>-46.800000000000182</v>
      </c>
      <c r="K57" s="9">
        <v>200.9</v>
      </c>
      <c r="L57" s="9">
        <v>188.3</v>
      </c>
      <c r="M57" s="9">
        <f t="shared" si="17"/>
        <v>-12.599999999999994</v>
      </c>
      <c r="N57" s="9">
        <v>1112.5</v>
      </c>
      <c r="O57" s="9">
        <v>1066</v>
      </c>
      <c r="P57" s="9">
        <f t="shared" si="18"/>
        <v>-46.5</v>
      </c>
      <c r="Q57" s="9">
        <v>189.2</v>
      </c>
      <c r="R57" s="9">
        <v>176.5</v>
      </c>
      <c r="S57" s="9">
        <f t="shared" si="19"/>
        <v>-12.699999999999989</v>
      </c>
      <c r="T57" s="9">
        <v>1113.2</v>
      </c>
      <c r="U57" s="9">
        <v>1067</v>
      </c>
      <c r="V57" s="9">
        <f t="shared" si="20"/>
        <v>-46.200000000000045</v>
      </c>
      <c r="W57" s="9">
        <v>189.9</v>
      </c>
      <c r="X57" s="9">
        <v>177.4</v>
      </c>
      <c r="Y57" s="9">
        <f t="shared" si="21"/>
        <v>-12.5</v>
      </c>
      <c r="Z57" s="9">
        <v>1113.2</v>
      </c>
      <c r="AA57" s="9">
        <v>1067.2</v>
      </c>
      <c r="AB57" s="9">
        <f t="shared" si="22"/>
        <v>-46</v>
      </c>
      <c r="AC57" s="9">
        <v>189.9</v>
      </c>
      <c r="AD57" s="9">
        <v>177.7</v>
      </c>
      <c r="AE57" s="9">
        <f t="shared" si="23"/>
        <v>-12.200000000000017</v>
      </c>
      <c r="AF57" s="9">
        <v>1115.0999999999999</v>
      </c>
      <c r="AG57" s="9">
        <v>1068</v>
      </c>
      <c r="AH57" s="9">
        <f t="shared" si="24"/>
        <v>-47.099999999999909</v>
      </c>
      <c r="AI57" s="9">
        <v>190.7</v>
      </c>
      <c r="AJ57" s="9">
        <v>178</v>
      </c>
      <c r="AK57" s="9">
        <f t="shared" si="25"/>
        <v>-12.699999999999989</v>
      </c>
      <c r="AL57" s="9">
        <v>1120.5999999999999</v>
      </c>
      <c r="AM57" s="9">
        <v>1072.2</v>
      </c>
      <c r="AN57" s="9">
        <f t="shared" si="26"/>
        <v>-48.399999999999864</v>
      </c>
      <c r="AO57" s="9">
        <v>192.1</v>
      </c>
      <c r="AP57" s="9">
        <v>179</v>
      </c>
      <c r="AQ57" s="9">
        <f t="shared" si="27"/>
        <v>-13.099999999999994</v>
      </c>
    </row>
    <row r="58" spans="1:43" x14ac:dyDescent="0.25">
      <c r="A58" s="10">
        <v>57</v>
      </c>
      <c r="B58" s="9">
        <v>1109.3</v>
      </c>
      <c r="C58" s="9">
        <v>1063.5999999999999</v>
      </c>
      <c r="D58" s="9">
        <f t="shared" si="14"/>
        <v>-45.700000000000045</v>
      </c>
      <c r="E58" s="9">
        <v>188.4</v>
      </c>
      <c r="F58" s="9">
        <v>175</v>
      </c>
      <c r="G58" s="9">
        <f t="shared" si="15"/>
        <v>-13.400000000000006</v>
      </c>
      <c r="H58" s="9">
        <v>1120.8</v>
      </c>
      <c r="I58" s="9">
        <v>1071.8</v>
      </c>
      <c r="J58" s="9">
        <f t="shared" si="16"/>
        <v>-49</v>
      </c>
      <c r="K58" s="9">
        <v>202.3</v>
      </c>
      <c r="L58" s="9">
        <v>185.9</v>
      </c>
      <c r="M58" s="9">
        <f t="shared" si="17"/>
        <v>-16.400000000000006</v>
      </c>
      <c r="N58" s="9">
        <v>1109.2</v>
      </c>
      <c r="O58" s="9">
        <v>1064.3</v>
      </c>
      <c r="P58" s="9">
        <f t="shared" si="18"/>
        <v>-44.900000000000091</v>
      </c>
      <c r="Q58" s="9">
        <v>187.1</v>
      </c>
      <c r="R58" s="9">
        <v>175.5</v>
      </c>
      <c r="S58" s="9">
        <f t="shared" si="19"/>
        <v>-11.599999999999994</v>
      </c>
      <c r="T58" s="9">
        <v>1110.0999999999999</v>
      </c>
      <c r="U58" s="9">
        <v>1064.7</v>
      </c>
      <c r="V58" s="9">
        <f t="shared" si="20"/>
        <v>-45.399999999999864</v>
      </c>
      <c r="W58" s="9">
        <v>188</v>
      </c>
      <c r="X58" s="9">
        <v>175.9</v>
      </c>
      <c r="Y58" s="9">
        <f t="shared" si="21"/>
        <v>-12.099999999999994</v>
      </c>
      <c r="Z58" s="9">
        <v>1110.4000000000001</v>
      </c>
      <c r="AA58" s="9">
        <v>1065</v>
      </c>
      <c r="AB58" s="9">
        <f t="shared" si="22"/>
        <v>-45.400000000000091</v>
      </c>
      <c r="AC58" s="9">
        <v>188.3</v>
      </c>
      <c r="AD58" s="9">
        <v>176.2</v>
      </c>
      <c r="AE58" s="9">
        <f t="shared" si="23"/>
        <v>-12.100000000000023</v>
      </c>
      <c r="AF58" s="9">
        <v>1112.4000000000001</v>
      </c>
      <c r="AG58" s="9">
        <v>1065.7</v>
      </c>
      <c r="AH58" s="9">
        <f t="shared" si="24"/>
        <v>-46.700000000000045</v>
      </c>
      <c r="AI58" s="9">
        <v>189.3</v>
      </c>
      <c r="AJ58" s="9">
        <v>176.4</v>
      </c>
      <c r="AK58" s="9">
        <f t="shared" si="25"/>
        <v>-12.900000000000006</v>
      </c>
      <c r="AL58" s="9">
        <v>1118.0999999999999</v>
      </c>
      <c r="AM58" s="9">
        <v>1070</v>
      </c>
      <c r="AN58" s="9">
        <f t="shared" si="26"/>
        <v>-48.099999999999909</v>
      </c>
      <c r="AO58" s="9">
        <v>191.1</v>
      </c>
      <c r="AP58" s="9">
        <v>177.6</v>
      </c>
      <c r="AQ58" s="9">
        <f t="shared" si="27"/>
        <v>-13.5</v>
      </c>
    </row>
    <row r="59" spans="1:43" x14ac:dyDescent="0.25">
      <c r="A59" s="10">
        <v>58</v>
      </c>
      <c r="B59" s="9">
        <v>1114.5999999999999</v>
      </c>
      <c r="C59" s="9">
        <v>1066.5</v>
      </c>
      <c r="D59" s="9">
        <f t="shared" si="14"/>
        <v>-48.099999999999909</v>
      </c>
      <c r="E59" s="9">
        <v>192.5</v>
      </c>
      <c r="F59" s="9">
        <v>177.1</v>
      </c>
      <c r="G59" s="9">
        <f t="shared" si="15"/>
        <v>-15.400000000000006</v>
      </c>
      <c r="H59" s="9">
        <v>1123.5</v>
      </c>
      <c r="I59" s="9">
        <v>1074.0999999999999</v>
      </c>
      <c r="J59" s="9">
        <f t="shared" si="16"/>
        <v>-49.400000000000091</v>
      </c>
      <c r="K59" s="9">
        <v>203.2</v>
      </c>
      <c r="L59" s="9">
        <v>188.3</v>
      </c>
      <c r="M59" s="9">
        <f t="shared" si="17"/>
        <v>-14.899999999999977</v>
      </c>
      <c r="N59" s="9">
        <v>1109</v>
      </c>
      <c r="O59" s="9">
        <v>1064.4000000000001</v>
      </c>
      <c r="P59" s="9">
        <f t="shared" si="18"/>
        <v>-44.599999999999909</v>
      </c>
      <c r="Q59" s="9">
        <v>186.8</v>
      </c>
      <c r="R59" s="9">
        <v>175.6</v>
      </c>
      <c r="S59" s="9">
        <f t="shared" si="19"/>
        <v>-11.200000000000017</v>
      </c>
      <c r="T59" s="9">
        <v>1109.7</v>
      </c>
      <c r="U59" s="9">
        <v>1065.2</v>
      </c>
      <c r="V59" s="9">
        <f t="shared" si="20"/>
        <v>-44.5</v>
      </c>
      <c r="W59" s="9">
        <v>187.6</v>
      </c>
      <c r="X59" s="9">
        <v>176.4</v>
      </c>
      <c r="Y59" s="9">
        <f t="shared" si="21"/>
        <v>-11.199999999999989</v>
      </c>
      <c r="Z59" s="9">
        <v>1110.0999999999999</v>
      </c>
      <c r="AA59" s="9">
        <v>1066.0999999999999</v>
      </c>
      <c r="AB59" s="9">
        <f t="shared" si="22"/>
        <v>-44</v>
      </c>
      <c r="AC59" s="9">
        <v>187.9</v>
      </c>
      <c r="AD59" s="9">
        <v>177.3</v>
      </c>
      <c r="AE59" s="9">
        <f t="shared" si="23"/>
        <v>-10.599999999999994</v>
      </c>
      <c r="AF59" s="9">
        <v>1111.4000000000001</v>
      </c>
      <c r="AG59" s="9">
        <v>1067.0999999999999</v>
      </c>
      <c r="AH59" s="9">
        <f t="shared" si="24"/>
        <v>-44.300000000000182</v>
      </c>
      <c r="AI59" s="9">
        <v>188.3</v>
      </c>
      <c r="AJ59" s="9">
        <v>177.7</v>
      </c>
      <c r="AK59" s="9">
        <f t="shared" si="25"/>
        <v>-10.600000000000023</v>
      </c>
      <c r="AL59" s="9">
        <v>1116.7</v>
      </c>
      <c r="AM59" s="9">
        <v>1071.0999999999999</v>
      </c>
      <c r="AN59" s="9">
        <f t="shared" si="26"/>
        <v>-45.600000000000136</v>
      </c>
      <c r="AO59" s="9">
        <v>189.8</v>
      </c>
      <c r="AP59" s="9">
        <v>178.6</v>
      </c>
      <c r="AQ59" s="9">
        <f t="shared" si="27"/>
        <v>-11.200000000000017</v>
      </c>
    </row>
    <row r="60" spans="1:43" x14ac:dyDescent="0.25">
      <c r="A60" s="10">
        <v>59</v>
      </c>
      <c r="B60" s="9">
        <v>1113.4000000000001</v>
      </c>
      <c r="C60" s="9">
        <v>1073</v>
      </c>
      <c r="D60" s="9">
        <f t="shared" si="14"/>
        <v>-40.400000000000091</v>
      </c>
      <c r="E60" s="9">
        <v>191.2</v>
      </c>
      <c r="F60" s="9">
        <v>184.6</v>
      </c>
      <c r="G60" s="9">
        <f t="shared" si="15"/>
        <v>-6.5999999999999943</v>
      </c>
      <c r="H60" s="9">
        <v>1120</v>
      </c>
      <c r="I60" s="9">
        <v>1076.4000000000001</v>
      </c>
      <c r="J60" s="9">
        <f t="shared" si="16"/>
        <v>-43.599999999999909</v>
      </c>
      <c r="K60" s="9">
        <v>201</v>
      </c>
      <c r="L60" s="9">
        <v>189.9</v>
      </c>
      <c r="M60" s="9">
        <f t="shared" si="17"/>
        <v>-11.099999999999994</v>
      </c>
      <c r="N60" s="9">
        <v>1108.5999999999999</v>
      </c>
      <c r="O60" s="9">
        <v>1066.2</v>
      </c>
      <c r="P60" s="9">
        <f t="shared" si="18"/>
        <v>-42.399999999999864</v>
      </c>
      <c r="Q60" s="9">
        <v>187.6</v>
      </c>
      <c r="R60" s="9">
        <v>176.3</v>
      </c>
      <c r="S60" s="9">
        <f t="shared" si="19"/>
        <v>-11.299999999999983</v>
      </c>
      <c r="T60" s="9">
        <v>1109.4000000000001</v>
      </c>
      <c r="U60" s="9">
        <v>1067</v>
      </c>
      <c r="V60" s="9">
        <f t="shared" si="20"/>
        <v>-42.400000000000091</v>
      </c>
      <c r="W60" s="9">
        <v>188.4</v>
      </c>
      <c r="X60" s="9">
        <v>177.1</v>
      </c>
      <c r="Y60" s="9">
        <f t="shared" si="21"/>
        <v>-11.300000000000011</v>
      </c>
      <c r="Z60" s="9">
        <v>1109.4000000000001</v>
      </c>
      <c r="AA60" s="9">
        <v>1067.2</v>
      </c>
      <c r="AB60" s="9">
        <f t="shared" si="22"/>
        <v>-42.200000000000045</v>
      </c>
      <c r="AC60" s="9">
        <v>188.5</v>
      </c>
      <c r="AD60" s="9">
        <v>177.3</v>
      </c>
      <c r="AE60" s="9">
        <f t="shared" si="23"/>
        <v>-11.199999999999989</v>
      </c>
      <c r="AF60" s="9">
        <v>1110.9000000000001</v>
      </c>
      <c r="AG60" s="9">
        <v>1068.0999999999999</v>
      </c>
      <c r="AH60" s="9">
        <f t="shared" si="24"/>
        <v>-42.800000000000182</v>
      </c>
      <c r="AI60" s="9">
        <v>188.9</v>
      </c>
      <c r="AJ60" s="9">
        <v>177.6</v>
      </c>
      <c r="AK60" s="9">
        <f t="shared" si="25"/>
        <v>-11.300000000000011</v>
      </c>
      <c r="AL60" s="9">
        <v>1116.3</v>
      </c>
      <c r="AM60" s="9">
        <v>1072.9000000000001</v>
      </c>
      <c r="AN60" s="9">
        <f t="shared" si="26"/>
        <v>-43.399999999999864</v>
      </c>
      <c r="AO60" s="9">
        <v>190.4</v>
      </c>
      <c r="AP60" s="9">
        <v>179.1</v>
      </c>
      <c r="AQ60" s="9">
        <f t="shared" si="27"/>
        <v>-11.300000000000011</v>
      </c>
    </row>
    <row r="61" spans="1:43" x14ac:dyDescent="0.25">
      <c r="A61" s="10">
        <v>60</v>
      </c>
      <c r="B61" s="9">
        <v>1113.2</v>
      </c>
      <c r="C61" s="9">
        <v>1065.2</v>
      </c>
      <c r="D61" s="9">
        <f t="shared" si="14"/>
        <v>-48</v>
      </c>
      <c r="E61" s="9">
        <v>190.7</v>
      </c>
      <c r="F61" s="9">
        <v>176.7</v>
      </c>
      <c r="G61" s="9">
        <f t="shared" si="15"/>
        <v>-14</v>
      </c>
      <c r="H61" s="9">
        <v>1119.0999999999999</v>
      </c>
      <c r="I61" s="9">
        <v>1073.3</v>
      </c>
      <c r="J61" s="9">
        <f t="shared" si="16"/>
        <v>-45.799999999999955</v>
      </c>
      <c r="K61" s="9">
        <v>200.4</v>
      </c>
      <c r="L61" s="9">
        <v>187.4</v>
      </c>
      <c r="M61" s="9">
        <f t="shared" si="17"/>
        <v>-13</v>
      </c>
      <c r="N61" s="9">
        <v>1107.9000000000001</v>
      </c>
      <c r="O61" s="9">
        <v>1064.5</v>
      </c>
      <c r="P61" s="9">
        <f t="shared" si="18"/>
        <v>-43.400000000000091</v>
      </c>
      <c r="Q61" s="9">
        <v>186.5</v>
      </c>
      <c r="R61" s="9">
        <v>175.9</v>
      </c>
      <c r="S61" s="9">
        <f t="shared" si="19"/>
        <v>-10.599999999999994</v>
      </c>
      <c r="T61" s="9">
        <v>1108.4000000000001</v>
      </c>
      <c r="U61" s="9">
        <v>1065.2</v>
      </c>
      <c r="V61" s="9">
        <f t="shared" si="20"/>
        <v>-43.200000000000045</v>
      </c>
      <c r="W61" s="9">
        <v>187.1</v>
      </c>
      <c r="X61" s="9">
        <v>176.5</v>
      </c>
      <c r="Y61" s="9">
        <f t="shared" si="21"/>
        <v>-10.599999999999994</v>
      </c>
      <c r="Z61" s="9">
        <v>1108.4000000000001</v>
      </c>
      <c r="AA61" s="9">
        <v>1065.3</v>
      </c>
      <c r="AB61" s="9">
        <f t="shared" si="22"/>
        <v>-43.100000000000136</v>
      </c>
      <c r="AC61" s="9">
        <v>187.1</v>
      </c>
      <c r="AD61" s="9">
        <v>176.6</v>
      </c>
      <c r="AE61" s="9">
        <f t="shared" si="23"/>
        <v>-10.5</v>
      </c>
      <c r="AF61" s="9">
        <v>1110</v>
      </c>
      <c r="AG61" s="9">
        <v>1066</v>
      </c>
      <c r="AH61" s="9">
        <f t="shared" si="24"/>
        <v>-44</v>
      </c>
      <c r="AI61" s="9">
        <v>187.7</v>
      </c>
      <c r="AJ61" s="9">
        <v>176.8</v>
      </c>
      <c r="AK61" s="9">
        <f t="shared" si="25"/>
        <v>-10.899999999999977</v>
      </c>
      <c r="AL61" s="9">
        <v>1115.2</v>
      </c>
      <c r="AM61" s="9">
        <v>1070.0999999999999</v>
      </c>
      <c r="AN61" s="9">
        <f t="shared" si="26"/>
        <v>-45.100000000000136</v>
      </c>
      <c r="AO61" s="9">
        <v>189.1</v>
      </c>
      <c r="AP61" s="9">
        <v>177.9</v>
      </c>
      <c r="AQ61" s="9">
        <f t="shared" si="27"/>
        <v>-11.199999999999989</v>
      </c>
    </row>
    <row r="62" spans="1:43" x14ac:dyDescent="0.25">
      <c r="A62" s="10">
        <v>61</v>
      </c>
      <c r="B62" s="9">
        <v>1116</v>
      </c>
      <c r="C62" s="9">
        <v>1063.5999999999999</v>
      </c>
      <c r="D62" s="9">
        <f t="shared" si="14"/>
        <v>-52.400000000000091</v>
      </c>
      <c r="E62" s="9">
        <v>194.2</v>
      </c>
      <c r="F62" s="9">
        <v>175.1</v>
      </c>
      <c r="G62" s="9">
        <f t="shared" si="15"/>
        <v>-19.099999999999994</v>
      </c>
      <c r="H62" s="9">
        <v>1120.8</v>
      </c>
      <c r="I62" s="9">
        <v>1071.5999999999999</v>
      </c>
      <c r="J62" s="9">
        <f t="shared" si="16"/>
        <v>-49.200000000000045</v>
      </c>
      <c r="K62" s="9">
        <v>202</v>
      </c>
      <c r="L62" s="9">
        <v>185.6</v>
      </c>
      <c r="M62" s="9">
        <f t="shared" si="17"/>
        <v>-16.400000000000006</v>
      </c>
      <c r="N62" s="9">
        <v>1109.5999999999999</v>
      </c>
      <c r="O62" s="9">
        <v>1063.5</v>
      </c>
      <c r="P62" s="9">
        <f t="shared" si="18"/>
        <v>-46.099999999999909</v>
      </c>
      <c r="Q62" s="9">
        <v>187.2</v>
      </c>
      <c r="R62" s="9">
        <v>174.8</v>
      </c>
      <c r="S62" s="9">
        <f t="shared" si="19"/>
        <v>-12.399999999999977</v>
      </c>
      <c r="T62" s="9">
        <v>1110.3</v>
      </c>
      <c r="U62" s="9">
        <v>1064.4000000000001</v>
      </c>
      <c r="V62" s="9">
        <f t="shared" si="20"/>
        <v>-45.899999999999864</v>
      </c>
      <c r="W62" s="9">
        <v>188.1</v>
      </c>
      <c r="X62" s="9">
        <v>175.7</v>
      </c>
      <c r="Y62" s="9">
        <f t="shared" si="21"/>
        <v>-12.400000000000006</v>
      </c>
      <c r="Z62" s="9">
        <v>1110.4000000000001</v>
      </c>
      <c r="AA62" s="9">
        <v>1065.4000000000001</v>
      </c>
      <c r="AB62" s="9">
        <f t="shared" si="22"/>
        <v>-45</v>
      </c>
      <c r="AC62" s="9">
        <v>188.1</v>
      </c>
      <c r="AD62" s="9">
        <v>176.7</v>
      </c>
      <c r="AE62" s="9">
        <f t="shared" si="23"/>
        <v>-11.400000000000006</v>
      </c>
      <c r="AF62" s="9">
        <v>1112</v>
      </c>
      <c r="AG62" s="9">
        <v>1066.4000000000001</v>
      </c>
      <c r="AH62" s="9">
        <f t="shared" si="24"/>
        <v>-45.599999999999909</v>
      </c>
      <c r="AI62" s="9">
        <v>188.7</v>
      </c>
      <c r="AJ62" s="9">
        <v>177</v>
      </c>
      <c r="AK62" s="9">
        <f t="shared" si="25"/>
        <v>-11.699999999999989</v>
      </c>
      <c r="AL62" s="9">
        <v>1117.5</v>
      </c>
      <c r="AM62" s="9">
        <v>1070.5</v>
      </c>
      <c r="AN62" s="9">
        <f t="shared" si="26"/>
        <v>-47</v>
      </c>
      <c r="AO62" s="9">
        <v>190.2</v>
      </c>
      <c r="AP62" s="9">
        <v>177.9</v>
      </c>
      <c r="AQ62" s="9">
        <f t="shared" si="27"/>
        <v>-12.299999999999983</v>
      </c>
    </row>
    <row r="63" spans="1:43" x14ac:dyDescent="0.25">
      <c r="A63" s="10">
        <v>62</v>
      </c>
      <c r="B63" s="9">
        <v>1111.8</v>
      </c>
      <c r="C63" s="9">
        <v>1063.3</v>
      </c>
      <c r="D63" s="9">
        <f t="shared" si="14"/>
        <v>-48.5</v>
      </c>
      <c r="E63" s="9">
        <v>190</v>
      </c>
      <c r="F63" s="9">
        <v>175.1</v>
      </c>
      <c r="G63" s="9">
        <f t="shared" si="15"/>
        <v>-14.900000000000006</v>
      </c>
      <c r="H63" s="9">
        <v>1119.4000000000001</v>
      </c>
      <c r="I63" s="9">
        <v>1070.4000000000001</v>
      </c>
      <c r="J63" s="9">
        <f t="shared" si="16"/>
        <v>-49</v>
      </c>
      <c r="K63" s="9">
        <v>200.2</v>
      </c>
      <c r="L63" s="9">
        <v>185.3</v>
      </c>
      <c r="M63" s="9">
        <f t="shared" si="17"/>
        <v>-14.899999999999977</v>
      </c>
      <c r="N63" s="9">
        <v>1107.2</v>
      </c>
      <c r="O63" s="9">
        <v>1069.3</v>
      </c>
      <c r="P63" s="9">
        <f t="shared" si="18"/>
        <v>-37.900000000000091</v>
      </c>
      <c r="Q63" s="9">
        <v>185.4</v>
      </c>
      <c r="R63" s="9">
        <v>180.1</v>
      </c>
      <c r="S63" s="9">
        <f t="shared" si="19"/>
        <v>-5.3000000000000114</v>
      </c>
      <c r="T63" s="9">
        <v>1108</v>
      </c>
      <c r="U63" s="9">
        <v>1070</v>
      </c>
      <c r="V63" s="9">
        <f t="shared" si="20"/>
        <v>-38</v>
      </c>
      <c r="W63" s="9">
        <v>186.2</v>
      </c>
      <c r="X63" s="9">
        <v>181.1</v>
      </c>
      <c r="Y63" s="9">
        <f t="shared" si="21"/>
        <v>-5.0999999999999943</v>
      </c>
      <c r="Z63" s="9">
        <v>1109</v>
      </c>
      <c r="AA63" s="9">
        <v>1073.2</v>
      </c>
      <c r="AB63" s="9">
        <f t="shared" si="22"/>
        <v>-35.799999999999955</v>
      </c>
      <c r="AC63" s="9">
        <v>187.2</v>
      </c>
      <c r="AD63" s="9">
        <v>184.1</v>
      </c>
      <c r="AE63" s="9">
        <f t="shared" si="23"/>
        <v>-3.0999999999999943</v>
      </c>
      <c r="AF63" s="9">
        <v>1110.7</v>
      </c>
      <c r="AG63" s="9">
        <v>1074.5</v>
      </c>
      <c r="AH63" s="9">
        <f t="shared" si="24"/>
        <v>-36.200000000000045</v>
      </c>
      <c r="AI63" s="9">
        <v>187.9</v>
      </c>
      <c r="AJ63" s="9">
        <v>184.6</v>
      </c>
      <c r="AK63" s="9">
        <f t="shared" si="25"/>
        <v>-3.3000000000000114</v>
      </c>
      <c r="AL63" s="9">
        <v>1116.0999999999999</v>
      </c>
      <c r="AM63" s="9">
        <v>1079</v>
      </c>
      <c r="AN63" s="9">
        <f t="shared" si="26"/>
        <v>-37.099999999999909</v>
      </c>
      <c r="AO63" s="9">
        <v>189.3</v>
      </c>
      <c r="AP63" s="9">
        <v>185.6</v>
      </c>
      <c r="AQ63" s="9">
        <f t="shared" si="27"/>
        <v>-3.7000000000000171</v>
      </c>
    </row>
    <row r="64" spans="1:43" x14ac:dyDescent="0.25">
      <c r="A64" s="10">
        <v>63</v>
      </c>
      <c r="B64" s="9">
        <v>1108.9000000000001</v>
      </c>
      <c r="C64" s="9">
        <v>1066.3</v>
      </c>
      <c r="D64" s="9">
        <f t="shared" si="14"/>
        <v>-42.600000000000136</v>
      </c>
      <c r="E64" s="9">
        <v>186.2</v>
      </c>
      <c r="F64" s="9">
        <v>177.3</v>
      </c>
      <c r="G64" s="9">
        <f t="shared" si="15"/>
        <v>-8.8999999999999773</v>
      </c>
      <c r="H64" s="9">
        <v>1127</v>
      </c>
      <c r="I64" s="9">
        <v>1073.0999999999999</v>
      </c>
      <c r="J64" s="9">
        <f t="shared" si="16"/>
        <v>-53.900000000000091</v>
      </c>
      <c r="K64" s="9">
        <v>207.3</v>
      </c>
      <c r="L64" s="9">
        <v>188</v>
      </c>
      <c r="M64" s="9">
        <f t="shared" si="17"/>
        <v>-19.300000000000011</v>
      </c>
      <c r="N64" s="9">
        <v>1112.5</v>
      </c>
      <c r="O64" s="9">
        <v>1066.2</v>
      </c>
      <c r="P64" s="9">
        <f t="shared" si="18"/>
        <v>-46.299999999999955</v>
      </c>
      <c r="Q64" s="9">
        <v>189.7</v>
      </c>
      <c r="R64" s="9">
        <v>177.9</v>
      </c>
      <c r="S64" s="9">
        <f t="shared" si="19"/>
        <v>-11.799999999999983</v>
      </c>
      <c r="T64" s="9">
        <v>1113.2</v>
      </c>
      <c r="U64" s="9">
        <v>1066.7</v>
      </c>
      <c r="V64" s="9">
        <f t="shared" si="20"/>
        <v>-46.5</v>
      </c>
      <c r="W64" s="9">
        <v>190.5</v>
      </c>
      <c r="X64" s="9">
        <v>178.5</v>
      </c>
      <c r="Y64" s="9">
        <f t="shared" si="21"/>
        <v>-12</v>
      </c>
      <c r="Z64" s="9">
        <v>1113.5</v>
      </c>
      <c r="AA64" s="9">
        <v>1067.0999999999999</v>
      </c>
      <c r="AB64" s="9">
        <f t="shared" si="22"/>
        <v>-46.400000000000091</v>
      </c>
      <c r="AC64" s="9">
        <v>190.8</v>
      </c>
      <c r="AD64" s="9">
        <v>178.9</v>
      </c>
      <c r="AE64" s="9">
        <f t="shared" si="23"/>
        <v>-11.900000000000006</v>
      </c>
      <c r="AF64" s="9">
        <v>1115.5</v>
      </c>
      <c r="AG64" s="9">
        <v>1067.9000000000001</v>
      </c>
      <c r="AH64" s="9">
        <f t="shared" si="24"/>
        <v>-47.599999999999909</v>
      </c>
      <c r="AI64" s="9">
        <v>191.6</v>
      </c>
      <c r="AJ64" s="9">
        <v>179.1</v>
      </c>
      <c r="AK64" s="9">
        <f t="shared" si="25"/>
        <v>-12.5</v>
      </c>
      <c r="AL64" s="9">
        <v>1121.2</v>
      </c>
      <c r="AM64" s="9">
        <v>1072</v>
      </c>
      <c r="AN64" s="9">
        <f t="shared" si="26"/>
        <v>-49.200000000000045</v>
      </c>
      <c r="AO64" s="9">
        <v>193.2</v>
      </c>
      <c r="AP64" s="9">
        <v>180.2</v>
      </c>
      <c r="AQ64" s="9">
        <f t="shared" si="27"/>
        <v>-13</v>
      </c>
    </row>
    <row r="65" spans="1:43" x14ac:dyDescent="0.25">
      <c r="A65" s="10">
        <v>64</v>
      </c>
      <c r="B65" s="9">
        <v>1111.0999999999999</v>
      </c>
      <c r="C65" s="9">
        <v>1066.3</v>
      </c>
      <c r="D65" s="9">
        <f t="shared" si="14"/>
        <v>-44.799999999999955</v>
      </c>
      <c r="E65" s="9">
        <v>189.3</v>
      </c>
      <c r="F65" s="9">
        <v>177.8</v>
      </c>
      <c r="G65" s="9">
        <f t="shared" si="15"/>
        <v>-11.5</v>
      </c>
      <c r="H65" s="9">
        <v>1120</v>
      </c>
      <c r="I65" s="9">
        <v>1075.8</v>
      </c>
      <c r="J65" s="9">
        <f t="shared" si="16"/>
        <v>-44.200000000000045</v>
      </c>
      <c r="K65" s="9">
        <v>201.4</v>
      </c>
      <c r="L65" s="9">
        <v>189.9</v>
      </c>
      <c r="M65" s="9">
        <f t="shared" si="17"/>
        <v>-11.5</v>
      </c>
      <c r="N65" s="9">
        <v>1106.5</v>
      </c>
      <c r="O65" s="9">
        <v>1062.5999999999999</v>
      </c>
      <c r="P65" s="9">
        <f t="shared" si="18"/>
        <v>-43.900000000000091</v>
      </c>
      <c r="Q65" s="9">
        <v>184.1</v>
      </c>
      <c r="R65" s="9">
        <v>173.5</v>
      </c>
      <c r="S65" s="9">
        <f t="shared" si="19"/>
        <v>-10.599999999999994</v>
      </c>
      <c r="T65" s="9">
        <v>1107</v>
      </c>
      <c r="U65" s="9">
        <v>1063.3</v>
      </c>
      <c r="V65" s="9">
        <f t="shared" si="20"/>
        <v>-43.700000000000045</v>
      </c>
      <c r="W65" s="9">
        <v>184.6</v>
      </c>
      <c r="X65" s="9">
        <v>174.2</v>
      </c>
      <c r="Y65" s="9">
        <f t="shared" si="21"/>
        <v>-10.400000000000006</v>
      </c>
      <c r="Z65" s="9">
        <v>1107</v>
      </c>
      <c r="AA65" s="9">
        <v>1063.4000000000001</v>
      </c>
      <c r="AB65" s="9">
        <f t="shared" si="22"/>
        <v>-43.599999999999909</v>
      </c>
      <c r="AC65" s="9">
        <v>184.6</v>
      </c>
      <c r="AD65" s="9">
        <v>174.3</v>
      </c>
      <c r="AE65" s="9">
        <f t="shared" si="23"/>
        <v>-10.299999999999983</v>
      </c>
      <c r="AF65" s="9">
        <v>1108.5999999999999</v>
      </c>
      <c r="AG65" s="9">
        <v>1064</v>
      </c>
      <c r="AH65" s="9">
        <f t="shared" si="24"/>
        <v>-44.599999999999909</v>
      </c>
      <c r="AI65" s="9">
        <v>185.2</v>
      </c>
      <c r="AJ65" s="9">
        <v>174.5</v>
      </c>
      <c r="AK65" s="9">
        <f t="shared" si="25"/>
        <v>-10.699999999999989</v>
      </c>
      <c r="AL65" s="9">
        <v>1113.9000000000001</v>
      </c>
      <c r="AM65" s="9">
        <v>1068</v>
      </c>
      <c r="AN65" s="9">
        <f t="shared" si="26"/>
        <v>-45.900000000000091</v>
      </c>
      <c r="AO65" s="9">
        <v>186.7</v>
      </c>
      <c r="AP65" s="9">
        <v>175.5</v>
      </c>
      <c r="AQ65" s="9">
        <f t="shared" si="27"/>
        <v>-11.199999999999989</v>
      </c>
    </row>
    <row r="66" spans="1:43" x14ac:dyDescent="0.25">
      <c r="A66" s="10">
        <v>65</v>
      </c>
      <c r="B66" s="9">
        <v>1114.7</v>
      </c>
      <c r="C66" s="9">
        <v>1064.0999999999999</v>
      </c>
      <c r="D66" s="9">
        <f t="shared" ref="D66:D97" si="28">C66-B66</f>
        <v>-50.600000000000136</v>
      </c>
      <c r="E66" s="9">
        <v>192.5</v>
      </c>
      <c r="F66" s="9">
        <v>175.7</v>
      </c>
      <c r="G66" s="9">
        <f t="shared" ref="G66:G97" si="29">F66-E66</f>
        <v>-16.800000000000011</v>
      </c>
      <c r="H66" s="9">
        <v>1123</v>
      </c>
      <c r="I66" s="9">
        <v>1072.9000000000001</v>
      </c>
      <c r="J66" s="9">
        <f t="shared" ref="J66:J97" si="30">I66-H66</f>
        <v>-50.099999999999909</v>
      </c>
      <c r="K66" s="9">
        <v>204.2</v>
      </c>
      <c r="L66" s="9">
        <v>187.4</v>
      </c>
      <c r="M66" s="9">
        <f t="shared" ref="M66:M97" si="31">L66-K66</f>
        <v>-16.799999999999983</v>
      </c>
      <c r="N66" s="9">
        <v>1110</v>
      </c>
      <c r="O66" s="9">
        <v>1064.9000000000001</v>
      </c>
      <c r="P66" s="9">
        <f t="shared" ref="P66:P97" si="32">O66-N66</f>
        <v>-45.099999999999909</v>
      </c>
      <c r="Q66" s="9">
        <v>187.8</v>
      </c>
      <c r="R66" s="9">
        <v>176.2</v>
      </c>
      <c r="S66" s="9">
        <f t="shared" ref="S66:S97" si="33">R66-Q66</f>
        <v>-11.600000000000023</v>
      </c>
      <c r="T66" s="9">
        <v>1110.7</v>
      </c>
      <c r="U66" s="9">
        <v>1065.4000000000001</v>
      </c>
      <c r="V66" s="9">
        <f t="shared" ref="V66:V97" si="34">U66-T66</f>
        <v>-45.299999999999955</v>
      </c>
      <c r="W66" s="9">
        <v>188.5</v>
      </c>
      <c r="X66" s="9">
        <v>176.9</v>
      </c>
      <c r="Y66" s="9">
        <f t="shared" ref="Y66:Y97" si="35">X66-W66</f>
        <v>-11.599999999999994</v>
      </c>
      <c r="Z66" s="9">
        <v>1110.9000000000001</v>
      </c>
      <c r="AA66" s="9">
        <v>1066.2</v>
      </c>
      <c r="AB66" s="9">
        <f t="shared" ref="AB66:AB97" si="36">AA66-Z66</f>
        <v>-44.700000000000045</v>
      </c>
      <c r="AC66" s="9">
        <v>188.8</v>
      </c>
      <c r="AD66" s="9">
        <v>177.6</v>
      </c>
      <c r="AE66" s="9">
        <f t="shared" ref="AE66:AE97" si="37">AD66-AC66</f>
        <v>-11.200000000000017</v>
      </c>
      <c r="AF66" s="9">
        <v>1112.8</v>
      </c>
      <c r="AG66" s="9">
        <v>1067.2</v>
      </c>
      <c r="AH66" s="9">
        <f t="shared" ref="AH66:AH97" si="38">AG66-AF66</f>
        <v>-45.599999999999909</v>
      </c>
      <c r="AI66" s="9">
        <v>189.5</v>
      </c>
      <c r="AJ66" s="9">
        <v>178</v>
      </c>
      <c r="AK66" s="9">
        <f t="shared" ref="AK66:AK97" si="39">AJ66-AI66</f>
        <v>-11.5</v>
      </c>
      <c r="AL66" s="9">
        <v>1118.3</v>
      </c>
      <c r="AM66" s="9">
        <v>1071.2</v>
      </c>
      <c r="AN66" s="9">
        <f t="shared" ref="AN66:AN97" si="40">AM66-AL66</f>
        <v>-47.099999999999909</v>
      </c>
      <c r="AO66" s="9">
        <v>190.9</v>
      </c>
      <c r="AP66" s="9">
        <v>178.9</v>
      </c>
      <c r="AQ66" s="9">
        <f t="shared" ref="AQ66:AQ97" si="41">AP66-AO66</f>
        <v>-12</v>
      </c>
    </row>
    <row r="67" spans="1:43" x14ac:dyDescent="0.25">
      <c r="A67" s="10">
        <v>66</v>
      </c>
      <c r="B67" s="9">
        <v>1107.5</v>
      </c>
      <c r="C67" s="9">
        <v>1066.0999999999999</v>
      </c>
      <c r="D67" s="9">
        <f t="shared" si="28"/>
        <v>-41.400000000000091</v>
      </c>
      <c r="E67" s="9">
        <v>186.2</v>
      </c>
      <c r="F67" s="9">
        <v>177.7</v>
      </c>
      <c r="G67" s="9">
        <f t="shared" si="29"/>
        <v>-8.5</v>
      </c>
      <c r="H67" s="9">
        <v>1122.8</v>
      </c>
      <c r="I67" s="9">
        <v>1073.5</v>
      </c>
      <c r="J67" s="9">
        <f t="shared" si="30"/>
        <v>-49.299999999999955</v>
      </c>
      <c r="K67" s="9">
        <v>204</v>
      </c>
      <c r="L67" s="9">
        <v>187.4</v>
      </c>
      <c r="M67" s="9">
        <f t="shared" si="31"/>
        <v>-16.599999999999994</v>
      </c>
      <c r="N67" s="9">
        <v>1109</v>
      </c>
      <c r="O67" s="9">
        <v>1062.5</v>
      </c>
      <c r="P67" s="9">
        <f t="shared" si="32"/>
        <v>-46.5</v>
      </c>
      <c r="Q67" s="9">
        <v>187.7</v>
      </c>
      <c r="R67" s="9">
        <v>173.6</v>
      </c>
      <c r="S67" s="9">
        <f t="shared" si="33"/>
        <v>-14.099999999999994</v>
      </c>
      <c r="T67" s="9">
        <v>1109.9000000000001</v>
      </c>
      <c r="U67" s="9">
        <v>1063.3</v>
      </c>
      <c r="V67" s="9">
        <f t="shared" si="34"/>
        <v>-46.600000000000136</v>
      </c>
      <c r="W67" s="9">
        <v>188.6</v>
      </c>
      <c r="X67" s="9">
        <v>174.4</v>
      </c>
      <c r="Y67" s="9">
        <f t="shared" si="35"/>
        <v>-14.199999999999989</v>
      </c>
      <c r="Z67" s="9">
        <v>1110.0999999999999</v>
      </c>
      <c r="AA67" s="9">
        <v>1063.3</v>
      </c>
      <c r="AB67" s="9">
        <f t="shared" si="36"/>
        <v>-46.799999999999955</v>
      </c>
      <c r="AC67" s="9">
        <v>188.8</v>
      </c>
      <c r="AD67" s="9">
        <v>174.4</v>
      </c>
      <c r="AE67" s="9">
        <f t="shared" si="37"/>
        <v>-14.400000000000006</v>
      </c>
      <c r="AF67" s="9">
        <v>1111.9000000000001</v>
      </c>
      <c r="AG67" s="9">
        <v>1063.9000000000001</v>
      </c>
      <c r="AH67" s="9">
        <f t="shared" si="38"/>
        <v>-48</v>
      </c>
      <c r="AI67" s="9">
        <v>189.5</v>
      </c>
      <c r="AJ67" s="9">
        <v>174.5</v>
      </c>
      <c r="AK67" s="9">
        <f t="shared" si="39"/>
        <v>-15</v>
      </c>
      <c r="AL67" s="9">
        <v>1117.4000000000001</v>
      </c>
      <c r="AM67" s="9">
        <v>1067.8</v>
      </c>
      <c r="AN67" s="9">
        <f t="shared" si="40"/>
        <v>-49.600000000000136</v>
      </c>
      <c r="AO67" s="9">
        <v>191</v>
      </c>
      <c r="AP67" s="9">
        <v>175.6</v>
      </c>
      <c r="AQ67" s="9">
        <f t="shared" si="41"/>
        <v>-15.400000000000006</v>
      </c>
    </row>
    <row r="68" spans="1:43" x14ac:dyDescent="0.25">
      <c r="A68" s="10">
        <v>67</v>
      </c>
      <c r="B68" s="9">
        <v>1109.5</v>
      </c>
      <c r="C68" s="9">
        <v>1065.5999999999999</v>
      </c>
      <c r="D68" s="9">
        <f t="shared" si="28"/>
        <v>-43.900000000000091</v>
      </c>
      <c r="E68" s="9">
        <v>188.1</v>
      </c>
      <c r="F68" s="9">
        <v>177.2</v>
      </c>
      <c r="G68" s="9">
        <f t="shared" si="29"/>
        <v>-10.900000000000006</v>
      </c>
      <c r="H68" s="9">
        <v>1120.8</v>
      </c>
      <c r="I68" s="9">
        <v>1071.5999999999999</v>
      </c>
      <c r="J68" s="9">
        <f t="shared" si="30"/>
        <v>-49.200000000000045</v>
      </c>
      <c r="K68" s="9">
        <v>202.3</v>
      </c>
      <c r="L68" s="9">
        <v>186.2</v>
      </c>
      <c r="M68" s="9">
        <f t="shared" si="31"/>
        <v>-16.100000000000023</v>
      </c>
      <c r="N68" s="9">
        <v>1108.5999999999999</v>
      </c>
      <c r="O68" s="9">
        <v>1065.2</v>
      </c>
      <c r="P68" s="9">
        <f t="shared" si="32"/>
        <v>-43.399999999999864</v>
      </c>
      <c r="Q68" s="9">
        <v>187.2</v>
      </c>
      <c r="R68" s="9">
        <v>175.6</v>
      </c>
      <c r="S68" s="9">
        <f t="shared" si="33"/>
        <v>-11.599999999999994</v>
      </c>
      <c r="T68" s="9">
        <v>1109.4000000000001</v>
      </c>
      <c r="U68" s="9">
        <v>1065.7</v>
      </c>
      <c r="V68" s="9">
        <f t="shared" si="34"/>
        <v>-43.700000000000045</v>
      </c>
      <c r="W68" s="9">
        <v>188.1</v>
      </c>
      <c r="X68" s="9">
        <v>176</v>
      </c>
      <c r="Y68" s="9">
        <f t="shared" si="35"/>
        <v>-12.099999999999994</v>
      </c>
      <c r="Z68" s="9">
        <v>1109.5</v>
      </c>
      <c r="AA68" s="9">
        <v>1065.7</v>
      </c>
      <c r="AB68" s="9">
        <f t="shared" si="36"/>
        <v>-43.799999999999955</v>
      </c>
      <c r="AC68" s="9">
        <v>188.1</v>
      </c>
      <c r="AD68" s="9">
        <v>176.1</v>
      </c>
      <c r="AE68" s="9">
        <f t="shared" si="37"/>
        <v>-12</v>
      </c>
      <c r="AF68" s="9">
        <v>1111.2</v>
      </c>
      <c r="AG68" s="9">
        <v>1066.4000000000001</v>
      </c>
      <c r="AH68" s="9">
        <f t="shared" si="38"/>
        <v>-44.799999999999955</v>
      </c>
      <c r="AI68" s="9">
        <v>188.8</v>
      </c>
      <c r="AJ68" s="9">
        <v>176.3</v>
      </c>
      <c r="AK68" s="9">
        <f t="shared" si="39"/>
        <v>-12.5</v>
      </c>
      <c r="AL68" s="9">
        <v>1116.3</v>
      </c>
      <c r="AM68" s="9">
        <v>1070.0999999999999</v>
      </c>
      <c r="AN68" s="9">
        <f t="shared" si="40"/>
        <v>-46.200000000000045</v>
      </c>
      <c r="AO68" s="9">
        <v>190</v>
      </c>
      <c r="AP68" s="9">
        <v>177.1</v>
      </c>
      <c r="AQ68" s="9">
        <f t="shared" si="41"/>
        <v>-12.900000000000006</v>
      </c>
    </row>
    <row r="69" spans="1:43" x14ac:dyDescent="0.25">
      <c r="A69" s="10">
        <v>68</v>
      </c>
      <c r="B69" s="9">
        <v>1110</v>
      </c>
      <c r="C69" s="9">
        <v>1064.7</v>
      </c>
      <c r="D69" s="9">
        <f t="shared" si="28"/>
        <v>-45.299999999999955</v>
      </c>
      <c r="E69" s="9">
        <v>188</v>
      </c>
      <c r="F69" s="9">
        <v>176.6</v>
      </c>
      <c r="G69" s="9">
        <f t="shared" si="29"/>
        <v>-11.400000000000006</v>
      </c>
      <c r="H69" s="9">
        <v>1119.9000000000001</v>
      </c>
      <c r="I69" s="9">
        <v>1072</v>
      </c>
      <c r="J69" s="9">
        <f t="shared" si="30"/>
        <v>-47.900000000000091</v>
      </c>
      <c r="K69" s="9">
        <v>200.6</v>
      </c>
      <c r="L69" s="9">
        <v>185.6</v>
      </c>
      <c r="M69" s="9">
        <f t="shared" si="31"/>
        <v>-15</v>
      </c>
      <c r="N69" s="9">
        <v>1110.5</v>
      </c>
      <c r="O69" s="9">
        <v>1067.4000000000001</v>
      </c>
      <c r="P69" s="9">
        <f t="shared" si="32"/>
        <v>-43.099999999999909</v>
      </c>
      <c r="Q69" s="9">
        <v>188.5</v>
      </c>
      <c r="R69" s="9">
        <v>178.6</v>
      </c>
      <c r="S69" s="9">
        <f t="shared" si="33"/>
        <v>-9.9000000000000057</v>
      </c>
      <c r="T69" s="9">
        <v>1111.0999999999999</v>
      </c>
      <c r="U69" s="9">
        <v>1068.2</v>
      </c>
      <c r="V69" s="9">
        <f t="shared" si="34"/>
        <v>-42.899999999999864</v>
      </c>
      <c r="W69" s="9">
        <v>189.1</v>
      </c>
      <c r="X69" s="9">
        <v>179.4</v>
      </c>
      <c r="Y69" s="9">
        <f t="shared" si="35"/>
        <v>-9.6999999999999886</v>
      </c>
      <c r="Z69" s="9">
        <v>1111.5</v>
      </c>
      <c r="AA69" s="9">
        <v>1068.5</v>
      </c>
      <c r="AB69" s="9">
        <f t="shared" si="36"/>
        <v>-43</v>
      </c>
      <c r="AC69" s="9">
        <v>189.6</v>
      </c>
      <c r="AD69" s="9">
        <v>179.7</v>
      </c>
      <c r="AE69" s="9">
        <f t="shared" si="37"/>
        <v>-9.9000000000000057</v>
      </c>
      <c r="AF69" s="9">
        <v>1113.2</v>
      </c>
      <c r="AG69" s="9">
        <v>1069.5999999999999</v>
      </c>
      <c r="AH69" s="9">
        <f t="shared" si="38"/>
        <v>-43.600000000000136</v>
      </c>
      <c r="AI69" s="9">
        <v>190.3</v>
      </c>
      <c r="AJ69" s="9">
        <v>180.1</v>
      </c>
      <c r="AK69" s="9">
        <f t="shared" si="39"/>
        <v>-10.200000000000017</v>
      </c>
      <c r="AL69" s="9">
        <v>1118.5</v>
      </c>
      <c r="AM69" s="9">
        <v>1074.5</v>
      </c>
      <c r="AN69" s="9">
        <f t="shared" si="40"/>
        <v>-44</v>
      </c>
      <c r="AO69" s="9">
        <v>191.5</v>
      </c>
      <c r="AP69" s="9">
        <v>181.4</v>
      </c>
      <c r="AQ69" s="9">
        <f t="shared" si="41"/>
        <v>-10.099999999999994</v>
      </c>
    </row>
    <row r="70" spans="1:43" x14ac:dyDescent="0.25">
      <c r="A70" s="10">
        <v>69</v>
      </c>
      <c r="B70" s="9">
        <v>1110.7</v>
      </c>
      <c r="C70" s="9">
        <v>1066.5</v>
      </c>
      <c r="D70" s="9">
        <f t="shared" si="28"/>
        <v>-44.200000000000045</v>
      </c>
      <c r="E70" s="9">
        <v>188.1</v>
      </c>
      <c r="F70" s="9">
        <v>177.9</v>
      </c>
      <c r="G70" s="9">
        <f t="shared" si="29"/>
        <v>-10.199999999999989</v>
      </c>
      <c r="H70" s="9">
        <v>1121</v>
      </c>
      <c r="I70" s="9">
        <v>1073.3</v>
      </c>
      <c r="J70" s="9">
        <f t="shared" si="30"/>
        <v>-47.700000000000045</v>
      </c>
      <c r="K70" s="9">
        <v>201.5</v>
      </c>
      <c r="L70" s="9">
        <v>187.4</v>
      </c>
      <c r="M70" s="9">
        <f t="shared" si="31"/>
        <v>-14.099999999999994</v>
      </c>
      <c r="N70" s="9">
        <v>1111.3</v>
      </c>
      <c r="O70" s="9">
        <v>1065.8</v>
      </c>
      <c r="P70" s="9">
        <f t="shared" si="32"/>
        <v>-45.5</v>
      </c>
      <c r="Q70" s="9">
        <v>188.2</v>
      </c>
      <c r="R70" s="9">
        <v>176.8</v>
      </c>
      <c r="S70" s="9">
        <f t="shared" si="33"/>
        <v>-11.399999999999977</v>
      </c>
      <c r="T70" s="9">
        <v>1112.2</v>
      </c>
      <c r="U70" s="9">
        <v>1066.5999999999999</v>
      </c>
      <c r="V70" s="9">
        <f t="shared" si="34"/>
        <v>-45.600000000000136</v>
      </c>
      <c r="W70" s="9">
        <v>189.1</v>
      </c>
      <c r="X70" s="9">
        <v>177.6</v>
      </c>
      <c r="Y70" s="9">
        <f t="shared" si="35"/>
        <v>-11.5</v>
      </c>
      <c r="Z70" s="9">
        <v>1113</v>
      </c>
      <c r="AA70" s="9">
        <v>1066.9000000000001</v>
      </c>
      <c r="AB70" s="9">
        <f t="shared" si="36"/>
        <v>-46.099999999999909</v>
      </c>
      <c r="AC70" s="9">
        <v>190</v>
      </c>
      <c r="AD70" s="9">
        <v>177.9</v>
      </c>
      <c r="AE70" s="9">
        <f t="shared" si="37"/>
        <v>-12.099999999999994</v>
      </c>
      <c r="AF70" s="9">
        <v>1115</v>
      </c>
      <c r="AG70" s="9">
        <v>1067.9000000000001</v>
      </c>
      <c r="AH70" s="9">
        <f t="shared" si="38"/>
        <v>-47.099999999999909</v>
      </c>
      <c r="AI70" s="9">
        <v>190.9</v>
      </c>
      <c r="AJ70" s="9">
        <v>178.3</v>
      </c>
      <c r="AK70" s="9">
        <f t="shared" si="39"/>
        <v>-12.599999999999994</v>
      </c>
      <c r="AL70" s="9">
        <v>1121.0999999999999</v>
      </c>
      <c r="AM70" s="9">
        <v>1072</v>
      </c>
      <c r="AN70" s="9">
        <f t="shared" si="40"/>
        <v>-49.099999999999909</v>
      </c>
      <c r="AO70" s="9">
        <v>192.7</v>
      </c>
      <c r="AP70" s="9">
        <v>179.2</v>
      </c>
      <c r="AQ70" s="9">
        <f t="shared" si="41"/>
        <v>-13.5</v>
      </c>
    </row>
    <row r="71" spans="1:43" x14ac:dyDescent="0.25">
      <c r="A71" s="10">
        <v>70</v>
      </c>
      <c r="B71" s="9">
        <v>1108.4000000000001</v>
      </c>
      <c r="C71" s="9">
        <v>1067.4000000000001</v>
      </c>
      <c r="D71" s="9">
        <f t="shared" si="28"/>
        <v>-41</v>
      </c>
      <c r="E71" s="9">
        <v>185.8</v>
      </c>
      <c r="F71" s="9">
        <v>178.1</v>
      </c>
      <c r="G71" s="9">
        <f t="shared" si="29"/>
        <v>-7.7000000000000171</v>
      </c>
      <c r="H71" s="9">
        <v>1121.0999999999999</v>
      </c>
      <c r="I71" s="9">
        <v>1071.3</v>
      </c>
      <c r="J71" s="9">
        <f t="shared" si="30"/>
        <v>-49.799999999999955</v>
      </c>
      <c r="K71" s="9">
        <v>201.6</v>
      </c>
      <c r="L71" s="9">
        <v>186.2</v>
      </c>
      <c r="M71" s="9">
        <f t="shared" si="31"/>
        <v>-15.400000000000006</v>
      </c>
      <c r="N71" s="9">
        <v>1106.4000000000001</v>
      </c>
      <c r="O71" s="9">
        <v>1066.3</v>
      </c>
      <c r="P71" s="9">
        <f t="shared" si="32"/>
        <v>-40.100000000000136</v>
      </c>
      <c r="Q71" s="9">
        <v>184.6</v>
      </c>
      <c r="R71" s="9">
        <v>177</v>
      </c>
      <c r="S71" s="9">
        <f t="shared" si="33"/>
        <v>-7.5999999999999943</v>
      </c>
      <c r="T71" s="9">
        <v>1107</v>
      </c>
      <c r="U71" s="9">
        <v>1067.3</v>
      </c>
      <c r="V71" s="9">
        <f t="shared" si="34"/>
        <v>-39.700000000000045</v>
      </c>
      <c r="W71" s="9">
        <v>185.2</v>
      </c>
      <c r="X71" s="9">
        <v>177.8</v>
      </c>
      <c r="Y71" s="9">
        <f t="shared" si="35"/>
        <v>-7.3999999999999773</v>
      </c>
      <c r="Z71" s="9">
        <v>1107</v>
      </c>
      <c r="AA71" s="9">
        <v>1068.2</v>
      </c>
      <c r="AB71" s="9">
        <f t="shared" si="36"/>
        <v>-38.799999999999955</v>
      </c>
      <c r="AC71" s="9">
        <v>185.2</v>
      </c>
      <c r="AD71" s="9">
        <v>178.9</v>
      </c>
      <c r="AE71" s="9">
        <f t="shared" si="37"/>
        <v>-6.2999999999999829</v>
      </c>
      <c r="AF71" s="9">
        <v>1108.4000000000001</v>
      </c>
      <c r="AG71" s="9">
        <v>1069.2</v>
      </c>
      <c r="AH71" s="9">
        <f t="shared" si="38"/>
        <v>-39.200000000000045</v>
      </c>
      <c r="AI71" s="9">
        <v>185.7</v>
      </c>
      <c r="AJ71" s="9">
        <v>179.2</v>
      </c>
      <c r="AK71" s="9">
        <f t="shared" si="39"/>
        <v>-6.5</v>
      </c>
      <c r="AL71" s="9">
        <v>1113</v>
      </c>
      <c r="AM71" s="9">
        <v>1073.5</v>
      </c>
      <c r="AN71" s="9">
        <f t="shared" si="40"/>
        <v>-39.5</v>
      </c>
      <c r="AO71" s="9">
        <v>186.7</v>
      </c>
      <c r="AP71" s="9">
        <v>180.2</v>
      </c>
      <c r="AQ71" s="9">
        <f t="shared" si="41"/>
        <v>-6.5</v>
      </c>
    </row>
    <row r="72" spans="1:43" x14ac:dyDescent="0.25">
      <c r="A72" s="10">
        <v>71</v>
      </c>
      <c r="B72" s="9">
        <v>1110</v>
      </c>
      <c r="C72" s="9">
        <v>1067.8</v>
      </c>
      <c r="D72" s="9">
        <f t="shared" si="28"/>
        <v>-42.200000000000045</v>
      </c>
      <c r="E72" s="9">
        <v>187.7</v>
      </c>
      <c r="F72" s="9">
        <v>178.4</v>
      </c>
      <c r="G72" s="9">
        <f t="shared" si="29"/>
        <v>-9.2999999999999829</v>
      </c>
      <c r="H72" s="9">
        <v>1128.0999999999999</v>
      </c>
      <c r="I72" s="9">
        <v>1072.8</v>
      </c>
      <c r="J72" s="9">
        <f t="shared" si="30"/>
        <v>-55.299999999999955</v>
      </c>
      <c r="K72" s="9">
        <v>207.8</v>
      </c>
      <c r="L72" s="9">
        <v>186.4</v>
      </c>
      <c r="M72" s="9">
        <f t="shared" si="31"/>
        <v>-21.400000000000006</v>
      </c>
      <c r="N72" s="9">
        <v>1109.4000000000001</v>
      </c>
      <c r="O72" s="9">
        <v>1067.0999999999999</v>
      </c>
      <c r="P72" s="9">
        <f t="shared" si="32"/>
        <v>-42.300000000000182</v>
      </c>
      <c r="Q72" s="9">
        <v>187.6</v>
      </c>
      <c r="R72" s="9">
        <v>177.5</v>
      </c>
      <c r="S72" s="9">
        <f t="shared" si="33"/>
        <v>-10.099999999999994</v>
      </c>
      <c r="T72" s="9">
        <v>1110.5</v>
      </c>
      <c r="U72" s="9">
        <v>1067.7</v>
      </c>
      <c r="V72" s="9">
        <f t="shared" si="34"/>
        <v>-42.799999999999955</v>
      </c>
      <c r="W72" s="9">
        <v>188.7</v>
      </c>
      <c r="X72" s="9">
        <v>178</v>
      </c>
      <c r="Y72" s="9">
        <f t="shared" si="35"/>
        <v>-10.699999999999989</v>
      </c>
      <c r="Z72" s="9">
        <v>1110.5</v>
      </c>
      <c r="AA72" s="9">
        <v>1067.7</v>
      </c>
      <c r="AB72" s="9">
        <f t="shared" si="36"/>
        <v>-42.799999999999955</v>
      </c>
      <c r="AC72" s="9">
        <v>188.7</v>
      </c>
      <c r="AD72" s="9">
        <v>178</v>
      </c>
      <c r="AE72" s="9">
        <f t="shared" si="37"/>
        <v>-10.699999999999989</v>
      </c>
      <c r="AF72" s="9">
        <v>1112.3</v>
      </c>
      <c r="AG72" s="9">
        <v>1068.5</v>
      </c>
      <c r="AH72" s="9">
        <f t="shared" si="38"/>
        <v>-43.799999999999955</v>
      </c>
      <c r="AI72" s="9">
        <v>189.4</v>
      </c>
      <c r="AJ72" s="9">
        <v>178.3</v>
      </c>
      <c r="AK72" s="9">
        <f t="shared" si="39"/>
        <v>-11.099999999999994</v>
      </c>
      <c r="AL72" s="9">
        <v>1118</v>
      </c>
      <c r="AM72" s="9">
        <v>1072.4000000000001</v>
      </c>
      <c r="AN72" s="9">
        <f t="shared" si="40"/>
        <v>-45.599999999999909</v>
      </c>
      <c r="AO72" s="9">
        <v>191.1</v>
      </c>
      <c r="AP72" s="9">
        <v>179.3</v>
      </c>
      <c r="AQ72" s="9">
        <f t="shared" si="41"/>
        <v>-11.799999999999983</v>
      </c>
    </row>
    <row r="73" spans="1:43" x14ac:dyDescent="0.25">
      <c r="A73" s="10">
        <v>72</v>
      </c>
      <c r="B73" s="9">
        <v>1114.8</v>
      </c>
      <c r="C73" s="9">
        <v>1066.3</v>
      </c>
      <c r="D73" s="9">
        <f t="shared" si="28"/>
        <v>-48.5</v>
      </c>
      <c r="E73" s="9">
        <v>191.8</v>
      </c>
      <c r="F73" s="9">
        <v>177.5</v>
      </c>
      <c r="G73" s="9">
        <f t="shared" si="29"/>
        <v>-14.300000000000011</v>
      </c>
      <c r="H73" s="9">
        <v>1118.5999999999999</v>
      </c>
      <c r="I73" s="9">
        <v>1075.4000000000001</v>
      </c>
      <c r="J73" s="9">
        <f t="shared" si="30"/>
        <v>-43.199999999999818</v>
      </c>
      <c r="K73" s="9">
        <v>199</v>
      </c>
      <c r="L73" s="9">
        <v>188.9</v>
      </c>
      <c r="M73" s="9">
        <f t="shared" si="31"/>
        <v>-10.099999999999994</v>
      </c>
      <c r="N73" s="9">
        <v>1111.3</v>
      </c>
      <c r="O73" s="9">
        <v>1065.2</v>
      </c>
      <c r="P73" s="9">
        <f t="shared" si="32"/>
        <v>-46.099999999999909</v>
      </c>
      <c r="Q73" s="9">
        <v>188.4</v>
      </c>
      <c r="R73" s="9">
        <v>175.8</v>
      </c>
      <c r="S73" s="9">
        <f t="shared" si="33"/>
        <v>-12.599999999999994</v>
      </c>
      <c r="T73" s="9">
        <v>1112.8</v>
      </c>
      <c r="U73" s="9">
        <v>1066.3</v>
      </c>
      <c r="V73" s="9">
        <f t="shared" si="34"/>
        <v>-46.5</v>
      </c>
      <c r="W73" s="9">
        <v>189.9</v>
      </c>
      <c r="X73" s="9">
        <v>177</v>
      </c>
      <c r="Y73" s="9">
        <f t="shared" si="35"/>
        <v>-12.900000000000006</v>
      </c>
      <c r="Z73" s="9">
        <v>1114</v>
      </c>
      <c r="AA73" s="9">
        <v>1067.4000000000001</v>
      </c>
      <c r="AB73" s="9">
        <f t="shared" si="36"/>
        <v>-46.599999999999909</v>
      </c>
      <c r="AC73" s="9">
        <v>191.2</v>
      </c>
      <c r="AD73" s="9">
        <v>178.1</v>
      </c>
      <c r="AE73" s="9">
        <f t="shared" si="37"/>
        <v>-13.099999999999994</v>
      </c>
      <c r="AF73" s="9">
        <v>1116.2</v>
      </c>
      <c r="AG73" s="9">
        <v>1068.7</v>
      </c>
      <c r="AH73" s="9">
        <f t="shared" si="38"/>
        <v>-47.5</v>
      </c>
      <c r="AI73" s="9">
        <v>192.1</v>
      </c>
      <c r="AJ73" s="9">
        <v>178.7</v>
      </c>
      <c r="AK73" s="9">
        <f t="shared" si="39"/>
        <v>-13.400000000000006</v>
      </c>
      <c r="AL73" s="9">
        <v>1122.2</v>
      </c>
      <c r="AM73" s="9">
        <v>1073</v>
      </c>
      <c r="AN73" s="9">
        <f t="shared" si="40"/>
        <v>-49.200000000000045</v>
      </c>
      <c r="AO73" s="9">
        <v>193.9</v>
      </c>
      <c r="AP73" s="9">
        <v>179.9</v>
      </c>
      <c r="AQ73" s="9">
        <f t="shared" si="41"/>
        <v>-14</v>
      </c>
    </row>
    <row r="74" spans="1:43" x14ac:dyDescent="0.25">
      <c r="A74" s="10">
        <v>73</v>
      </c>
      <c r="B74" s="9">
        <v>1108.5999999999999</v>
      </c>
      <c r="C74" s="9">
        <v>1065</v>
      </c>
      <c r="D74" s="9">
        <f t="shared" si="28"/>
        <v>-43.599999999999909</v>
      </c>
      <c r="E74" s="9">
        <v>186.6</v>
      </c>
      <c r="F74" s="9">
        <v>176</v>
      </c>
      <c r="G74" s="9">
        <f t="shared" si="29"/>
        <v>-10.599999999999994</v>
      </c>
      <c r="H74" s="9">
        <v>1123.5</v>
      </c>
      <c r="I74" s="9">
        <v>1072.8</v>
      </c>
      <c r="J74" s="9">
        <f t="shared" si="30"/>
        <v>-50.700000000000045</v>
      </c>
      <c r="K74" s="9">
        <v>204.6</v>
      </c>
      <c r="L74" s="9">
        <v>187.1</v>
      </c>
      <c r="M74" s="9">
        <f t="shared" si="31"/>
        <v>-17.5</v>
      </c>
      <c r="N74" s="9">
        <v>1110.5</v>
      </c>
      <c r="O74" s="9">
        <v>1065.4000000000001</v>
      </c>
      <c r="P74" s="9">
        <f t="shared" si="32"/>
        <v>-45.099999999999909</v>
      </c>
      <c r="Q74" s="9">
        <v>189</v>
      </c>
      <c r="R74" s="9">
        <v>176.8</v>
      </c>
      <c r="S74" s="9">
        <f t="shared" si="33"/>
        <v>-12.199999999999989</v>
      </c>
      <c r="T74" s="9">
        <v>1111.4000000000001</v>
      </c>
      <c r="U74" s="9">
        <v>1066.3</v>
      </c>
      <c r="V74" s="9">
        <f t="shared" si="34"/>
        <v>-45.100000000000136</v>
      </c>
      <c r="W74" s="9">
        <v>189.7</v>
      </c>
      <c r="X74" s="9">
        <v>177.7</v>
      </c>
      <c r="Y74" s="9">
        <f t="shared" si="35"/>
        <v>-12</v>
      </c>
      <c r="Z74" s="9">
        <v>1111.9000000000001</v>
      </c>
      <c r="AA74" s="9">
        <v>1066.4000000000001</v>
      </c>
      <c r="AB74" s="9">
        <f t="shared" si="36"/>
        <v>-45.5</v>
      </c>
      <c r="AC74" s="9">
        <v>190.3</v>
      </c>
      <c r="AD74" s="9">
        <v>177.8</v>
      </c>
      <c r="AE74" s="9">
        <f t="shared" si="37"/>
        <v>-12.5</v>
      </c>
      <c r="AF74" s="9">
        <v>1113.7</v>
      </c>
      <c r="AG74" s="9">
        <v>1067.2</v>
      </c>
      <c r="AH74" s="9">
        <f t="shared" si="38"/>
        <v>-46.5</v>
      </c>
      <c r="AI74" s="9">
        <v>191</v>
      </c>
      <c r="AJ74" s="9">
        <v>177.9</v>
      </c>
      <c r="AK74" s="9">
        <f t="shared" si="39"/>
        <v>-13.099999999999994</v>
      </c>
      <c r="AL74" s="9">
        <v>1119.7</v>
      </c>
      <c r="AM74" s="9">
        <v>1071.5999999999999</v>
      </c>
      <c r="AN74" s="9">
        <f t="shared" si="40"/>
        <v>-48.100000000000136</v>
      </c>
      <c r="AO74" s="9">
        <v>192.9</v>
      </c>
      <c r="AP74" s="9">
        <v>179.1</v>
      </c>
      <c r="AQ74" s="9">
        <f t="shared" si="41"/>
        <v>-13.800000000000011</v>
      </c>
    </row>
    <row r="75" spans="1:43" x14ac:dyDescent="0.25">
      <c r="A75" s="10">
        <v>74</v>
      </c>
      <c r="B75" s="9">
        <v>1112.0999999999999</v>
      </c>
      <c r="C75" s="9">
        <v>1065.8</v>
      </c>
      <c r="D75" s="9">
        <f t="shared" si="28"/>
        <v>-46.299999999999955</v>
      </c>
      <c r="E75" s="9">
        <v>190</v>
      </c>
      <c r="F75" s="9">
        <v>176.9</v>
      </c>
      <c r="G75" s="9">
        <f t="shared" si="29"/>
        <v>-13.099999999999994</v>
      </c>
      <c r="H75" s="9">
        <v>1118.0999999999999</v>
      </c>
      <c r="I75" s="9">
        <v>1077.2</v>
      </c>
      <c r="J75" s="9">
        <f t="shared" si="30"/>
        <v>-40.899999999999864</v>
      </c>
      <c r="K75" s="9">
        <v>198.6</v>
      </c>
      <c r="L75" s="9">
        <v>190.3</v>
      </c>
      <c r="M75" s="9">
        <f t="shared" si="31"/>
        <v>-8.2999999999999829</v>
      </c>
      <c r="N75" s="9">
        <v>1112.4000000000001</v>
      </c>
      <c r="O75" s="9">
        <v>1068.4000000000001</v>
      </c>
      <c r="P75" s="9">
        <f t="shared" si="32"/>
        <v>-44</v>
      </c>
      <c r="Q75" s="9">
        <v>189.6</v>
      </c>
      <c r="R75" s="9">
        <v>179</v>
      </c>
      <c r="S75" s="9">
        <f t="shared" si="33"/>
        <v>-10.599999999999994</v>
      </c>
      <c r="T75" s="9">
        <v>1112.9000000000001</v>
      </c>
      <c r="U75" s="9">
        <v>1069.8</v>
      </c>
      <c r="V75" s="9">
        <f t="shared" si="34"/>
        <v>-43.100000000000136</v>
      </c>
      <c r="W75" s="9">
        <v>190.1</v>
      </c>
      <c r="X75" s="9">
        <v>180.2</v>
      </c>
      <c r="Y75" s="9">
        <f t="shared" si="35"/>
        <v>-9.9000000000000057</v>
      </c>
      <c r="Z75" s="9">
        <v>1113.5</v>
      </c>
      <c r="AA75" s="9">
        <v>1070.8</v>
      </c>
      <c r="AB75" s="9">
        <f t="shared" si="36"/>
        <v>-42.700000000000045</v>
      </c>
      <c r="AC75" s="9">
        <v>190.8</v>
      </c>
      <c r="AD75" s="9">
        <v>181.4</v>
      </c>
      <c r="AE75" s="9">
        <f t="shared" si="37"/>
        <v>-9.4000000000000057</v>
      </c>
      <c r="AF75" s="9">
        <v>1115.4000000000001</v>
      </c>
      <c r="AG75" s="9">
        <v>1072</v>
      </c>
      <c r="AH75" s="9">
        <f t="shared" si="38"/>
        <v>-43.400000000000091</v>
      </c>
      <c r="AI75" s="9">
        <v>191.5</v>
      </c>
      <c r="AJ75" s="9">
        <v>181.8</v>
      </c>
      <c r="AK75" s="9">
        <f t="shared" si="39"/>
        <v>-9.6999999999999886</v>
      </c>
      <c r="AL75" s="9">
        <v>1121.2</v>
      </c>
      <c r="AM75" s="9">
        <v>1076.2</v>
      </c>
      <c r="AN75" s="9">
        <f t="shared" si="40"/>
        <v>-45</v>
      </c>
      <c r="AO75" s="9">
        <v>193.2</v>
      </c>
      <c r="AP75" s="9">
        <v>182.7</v>
      </c>
      <c r="AQ75" s="9">
        <f t="shared" si="41"/>
        <v>-10.5</v>
      </c>
    </row>
    <row r="76" spans="1:43" x14ac:dyDescent="0.25">
      <c r="A76" s="10">
        <v>75</v>
      </c>
      <c r="B76" s="9">
        <v>1107.5999999999999</v>
      </c>
      <c r="C76" s="9">
        <v>1066.4000000000001</v>
      </c>
      <c r="D76" s="9">
        <f t="shared" si="28"/>
        <v>-41.199999999999818</v>
      </c>
      <c r="E76" s="9">
        <v>185.5</v>
      </c>
      <c r="F76" s="9">
        <v>177.3</v>
      </c>
      <c r="G76" s="9">
        <f t="shared" si="29"/>
        <v>-8.1999999999999886</v>
      </c>
      <c r="H76" s="9">
        <v>1122.5999999999999</v>
      </c>
      <c r="I76" s="9">
        <v>1070.7</v>
      </c>
      <c r="J76" s="9">
        <f t="shared" si="30"/>
        <v>-51.899999999999864</v>
      </c>
      <c r="K76" s="9">
        <v>203</v>
      </c>
      <c r="L76" s="9">
        <v>185.6</v>
      </c>
      <c r="M76" s="9">
        <f t="shared" si="31"/>
        <v>-17.400000000000006</v>
      </c>
      <c r="N76" s="9">
        <v>1110.0999999999999</v>
      </c>
      <c r="O76" s="9">
        <v>1065</v>
      </c>
      <c r="P76" s="9">
        <f t="shared" si="32"/>
        <v>-45.099999999999909</v>
      </c>
      <c r="Q76" s="9">
        <v>187.8</v>
      </c>
      <c r="R76" s="9">
        <v>176.1</v>
      </c>
      <c r="S76" s="9">
        <f t="shared" si="33"/>
        <v>-11.700000000000017</v>
      </c>
      <c r="T76" s="9">
        <v>1110.8</v>
      </c>
      <c r="U76" s="9">
        <v>1066.2</v>
      </c>
      <c r="V76" s="9">
        <f t="shared" si="34"/>
        <v>-44.599999999999909</v>
      </c>
      <c r="W76" s="9">
        <v>188.5</v>
      </c>
      <c r="X76" s="9">
        <v>177.2</v>
      </c>
      <c r="Y76" s="9">
        <f t="shared" si="35"/>
        <v>-11.300000000000011</v>
      </c>
      <c r="Z76" s="9">
        <v>1111</v>
      </c>
      <c r="AA76" s="9">
        <v>1066.7</v>
      </c>
      <c r="AB76" s="9">
        <f t="shared" si="36"/>
        <v>-44.299999999999955</v>
      </c>
      <c r="AC76" s="9">
        <v>188.7</v>
      </c>
      <c r="AD76" s="9">
        <v>177.8</v>
      </c>
      <c r="AE76" s="9">
        <f t="shared" si="37"/>
        <v>-10.899999999999977</v>
      </c>
      <c r="AF76" s="9">
        <v>1112.5</v>
      </c>
      <c r="AG76" s="9">
        <v>1067.8</v>
      </c>
      <c r="AH76" s="9">
        <f t="shared" si="38"/>
        <v>-44.700000000000045</v>
      </c>
      <c r="AI76" s="9">
        <v>189.1</v>
      </c>
      <c r="AJ76" s="9">
        <v>178.1</v>
      </c>
      <c r="AK76" s="9">
        <f t="shared" si="39"/>
        <v>-11</v>
      </c>
      <c r="AL76" s="9">
        <v>1117.7</v>
      </c>
      <c r="AM76" s="9">
        <v>1072.4000000000001</v>
      </c>
      <c r="AN76" s="9">
        <f t="shared" si="40"/>
        <v>-45.299999999999955</v>
      </c>
      <c r="AO76" s="9">
        <v>190.4</v>
      </c>
      <c r="AP76" s="9">
        <v>179.5</v>
      </c>
      <c r="AQ76" s="9">
        <f t="shared" si="41"/>
        <v>-10.900000000000006</v>
      </c>
    </row>
    <row r="77" spans="1:43" x14ac:dyDescent="0.25">
      <c r="A77" s="10">
        <v>76</v>
      </c>
      <c r="B77" s="9">
        <v>1107.9000000000001</v>
      </c>
      <c r="C77" s="9">
        <v>1069.4000000000001</v>
      </c>
      <c r="D77" s="9">
        <f t="shared" si="28"/>
        <v>-38.5</v>
      </c>
      <c r="E77" s="9">
        <v>184.8</v>
      </c>
      <c r="F77" s="9">
        <v>180</v>
      </c>
      <c r="G77" s="9">
        <f t="shared" si="29"/>
        <v>-4.8000000000000114</v>
      </c>
      <c r="H77" s="9">
        <v>1118.5999999999999</v>
      </c>
      <c r="I77" s="9">
        <v>1075.3</v>
      </c>
      <c r="J77" s="9">
        <f t="shared" si="30"/>
        <v>-43.299999999999955</v>
      </c>
      <c r="K77" s="9">
        <v>198.5</v>
      </c>
      <c r="L77" s="9">
        <v>189.9</v>
      </c>
      <c r="M77" s="9">
        <f t="shared" si="31"/>
        <v>-8.5999999999999943</v>
      </c>
      <c r="N77" s="9">
        <v>1108.9000000000001</v>
      </c>
      <c r="O77" s="9">
        <v>1067.5</v>
      </c>
      <c r="P77" s="9">
        <f t="shared" si="32"/>
        <v>-41.400000000000091</v>
      </c>
      <c r="Q77" s="9">
        <v>186.6</v>
      </c>
      <c r="R77" s="9">
        <v>178.1</v>
      </c>
      <c r="S77" s="9">
        <f t="shared" si="33"/>
        <v>-8.5</v>
      </c>
      <c r="T77" s="9">
        <v>1109.9000000000001</v>
      </c>
      <c r="U77" s="9">
        <v>1068.5</v>
      </c>
      <c r="V77" s="9">
        <f t="shared" si="34"/>
        <v>-41.400000000000091</v>
      </c>
      <c r="W77" s="9">
        <v>187.7</v>
      </c>
      <c r="X77" s="9">
        <v>178.9</v>
      </c>
      <c r="Y77" s="9">
        <f t="shared" si="35"/>
        <v>-8.7999999999999829</v>
      </c>
      <c r="Z77" s="9">
        <v>1110.0999999999999</v>
      </c>
      <c r="AA77" s="9">
        <v>1069.8</v>
      </c>
      <c r="AB77" s="9">
        <f t="shared" si="36"/>
        <v>-40.299999999999955</v>
      </c>
      <c r="AC77" s="9">
        <v>187.9</v>
      </c>
      <c r="AD77" s="9">
        <v>180.5</v>
      </c>
      <c r="AE77" s="9">
        <f t="shared" si="37"/>
        <v>-7.4000000000000057</v>
      </c>
      <c r="AF77" s="9">
        <v>1111.5999999999999</v>
      </c>
      <c r="AG77" s="9">
        <v>1070.9000000000001</v>
      </c>
      <c r="AH77" s="9">
        <f t="shared" si="38"/>
        <v>-40.699999999999818</v>
      </c>
      <c r="AI77" s="9">
        <v>188.4</v>
      </c>
      <c r="AJ77" s="9">
        <v>180.9</v>
      </c>
      <c r="AK77" s="9">
        <f t="shared" si="39"/>
        <v>-7.5</v>
      </c>
      <c r="AL77" s="9">
        <v>1116.9000000000001</v>
      </c>
      <c r="AM77" s="9">
        <v>1075.3</v>
      </c>
      <c r="AN77" s="9">
        <f t="shared" si="40"/>
        <v>-41.600000000000136</v>
      </c>
      <c r="AO77" s="9">
        <v>189.8</v>
      </c>
      <c r="AP77" s="9">
        <v>181.9</v>
      </c>
      <c r="AQ77" s="9">
        <f t="shared" si="41"/>
        <v>-7.9000000000000057</v>
      </c>
    </row>
    <row r="78" spans="1:43" x14ac:dyDescent="0.25">
      <c r="A78" s="10">
        <v>77</v>
      </c>
      <c r="B78" s="9">
        <v>1110.0999999999999</v>
      </c>
      <c r="C78" s="9">
        <v>1064.0999999999999</v>
      </c>
      <c r="D78" s="9">
        <f t="shared" si="28"/>
        <v>-46</v>
      </c>
      <c r="E78" s="9">
        <v>188.1</v>
      </c>
      <c r="F78" s="9">
        <v>175.1</v>
      </c>
      <c r="G78" s="9">
        <f t="shared" si="29"/>
        <v>-13</v>
      </c>
      <c r="H78" s="9">
        <v>1122.7</v>
      </c>
      <c r="I78" s="9">
        <v>1073.0999999999999</v>
      </c>
      <c r="J78" s="9">
        <f t="shared" si="30"/>
        <v>-49.600000000000136</v>
      </c>
      <c r="K78" s="9">
        <v>204</v>
      </c>
      <c r="L78" s="9">
        <v>187</v>
      </c>
      <c r="M78" s="9">
        <f t="shared" si="31"/>
        <v>-17</v>
      </c>
      <c r="N78" s="9">
        <v>1111.2</v>
      </c>
      <c r="O78" s="9">
        <v>1061.9000000000001</v>
      </c>
      <c r="P78" s="9">
        <f t="shared" si="32"/>
        <v>-49.299999999999955</v>
      </c>
      <c r="Q78" s="9">
        <v>189.3</v>
      </c>
      <c r="R78" s="9">
        <v>173.2</v>
      </c>
      <c r="S78" s="9">
        <f t="shared" si="33"/>
        <v>-16.100000000000023</v>
      </c>
      <c r="T78" s="9">
        <v>1112.4000000000001</v>
      </c>
      <c r="U78" s="9">
        <v>1062.5</v>
      </c>
      <c r="V78" s="9">
        <f t="shared" si="34"/>
        <v>-49.900000000000091</v>
      </c>
      <c r="W78" s="9">
        <v>190.5</v>
      </c>
      <c r="X78" s="9">
        <v>173.8</v>
      </c>
      <c r="Y78" s="9">
        <f t="shared" si="35"/>
        <v>-16.699999999999989</v>
      </c>
      <c r="Z78" s="9">
        <v>1113.3</v>
      </c>
      <c r="AA78" s="9">
        <v>1062.8</v>
      </c>
      <c r="AB78" s="9">
        <f t="shared" si="36"/>
        <v>-50.5</v>
      </c>
      <c r="AC78" s="9">
        <v>191.5</v>
      </c>
      <c r="AD78" s="9">
        <v>174.1</v>
      </c>
      <c r="AE78" s="9">
        <f t="shared" si="37"/>
        <v>-17.400000000000006</v>
      </c>
      <c r="AF78" s="9">
        <v>1115</v>
      </c>
      <c r="AG78" s="9">
        <v>1063.4000000000001</v>
      </c>
      <c r="AH78" s="9">
        <f t="shared" si="38"/>
        <v>-51.599999999999909</v>
      </c>
      <c r="AI78" s="9">
        <v>192.1</v>
      </c>
      <c r="AJ78" s="9">
        <v>174.3</v>
      </c>
      <c r="AK78" s="9">
        <f t="shared" si="39"/>
        <v>-17.799999999999983</v>
      </c>
      <c r="AL78" s="9">
        <v>1120.9000000000001</v>
      </c>
      <c r="AM78" s="9">
        <v>1067.5</v>
      </c>
      <c r="AN78" s="9">
        <f t="shared" si="40"/>
        <v>-53.400000000000091</v>
      </c>
      <c r="AO78" s="9">
        <v>193.9</v>
      </c>
      <c r="AP78" s="9">
        <v>175.4</v>
      </c>
      <c r="AQ78" s="9">
        <f t="shared" si="41"/>
        <v>-18.5</v>
      </c>
    </row>
    <row r="79" spans="1:43" x14ac:dyDescent="0.25">
      <c r="A79" s="10">
        <v>78</v>
      </c>
      <c r="B79" s="9">
        <v>1109.9000000000001</v>
      </c>
      <c r="C79" s="9">
        <v>1064.5</v>
      </c>
      <c r="D79" s="9">
        <f t="shared" si="28"/>
        <v>-45.400000000000091</v>
      </c>
      <c r="E79" s="9">
        <v>186.9</v>
      </c>
      <c r="F79" s="9">
        <v>175.8</v>
      </c>
      <c r="G79" s="9">
        <f t="shared" si="29"/>
        <v>-11.099999999999994</v>
      </c>
      <c r="H79" s="9">
        <v>1120.7</v>
      </c>
      <c r="I79" s="9">
        <v>1071.5999999999999</v>
      </c>
      <c r="J79" s="9">
        <f t="shared" si="30"/>
        <v>-49.100000000000136</v>
      </c>
      <c r="K79" s="9">
        <v>200.6</v>
      </c>
      <c r="L79" s="9">
        <v>185.8</v>
      </c>
      <c r="M79" s="9">
        <f t="shared" si="31"/>
        <v>-14.799999999999983</v>
      </c>
      <c r="N79" s="9">
        <v>1112.9000000000001</v>
      </c>
      <c r="O79" s="9">
        <v>1066.0999999999999</v>
      </c>
      <c r="P79" s="9">
        <f t="shared" si="32"/>
        <v>-46.800000000000182</v>
      </c>
      <c r="Q79" s="9">
        <v>190</v>
      </c>
      <c r="R79" s="9">
        <v>176.4</v>
      </c>
      <c r="S79" s="9">
        <f t="shared" si="33"/>
        <v>-13.599999999999994</v>
      </c>
      <c r="T79" s="9">
        <v>1114.0999999999999</v>
      </c>
      <c r="U79" s="9">
        <v>1067</v>
      </c>
      <c r="V79" s="9">
        <f t="shared" si="34"/>
        <v>-47.099999999999909</v>
      </c>
      <c r="W79" s="9">
        <v>191.2</v>
      </c>
      <c r="X79" s="9">
        <v>177.3</v>
      </c>
      <c r="Y79" s="9">
        <f t="shared" si="35"/>
        <v>-13.899999999999977</v>
      </c>
      <c r="Z79" s="9">
        <v>1114.5999999999999</v>
      </c>
      <c r="AA79" s="9">
        <v>1067.2</v>
      </c>
      <c r="AB79" s="9">
        <f t="shared" si="36"/>
        <v>-47.399999999999864</v>
      </c>
      <c r="AC79" s="9">
        <v>191.8</v>
      </c>
      <c r="AD79" s="9">
        <v>177.6</v>
      </c>
      <c r="AE79" s="9">
        <f t="shared" si="37"/>
        <v>-14.200000000000017</v>
      </c>
      <c r="AF79" s="9">
        <v>1116.3</v>
      </c>
      <c r="AG79" s="9">
        <v>1068.2</v>
      </c>
      <c r="AH79" s="9">
        <f t="shared" si="38"/>
        <v>-48.099999999999909</v>
      </c>
      <c r="AI79" s="9">
        <v>192.4</v>
      </c>
      <c r="AJ79" s="9">
        <v>177.9</v>
      </c>
      <c r="AK79" s="9">
        <f t="shared" si="39"/>
        <v>-14.5</v>
      </c>
      <c r="AL79" s="9">
        <v>1121.8</v>
      </c>
      <c r="AM79" s="9">
        <v>1072.4000000000001</v>
      </c>
      <c r="AN79" s="9">
        <f t="shared" si="40"/>
        <v>-49.399999999999864</v>
      </c>
      <c r="AO79" s="9">
        <v>193.8</v>
      </c>
      <c r="AP79" s="9">
        <v>179</v>
      </c>
      <c r="AQ79" s="9">
        <f t="shared" si="41"/>
        <v>-14.800000000000011</v>
      </c>
    </row>
    <row r="80" spans="1:43" x14ac:dyDescent="0.25">
      <c r="A80" s="10">
        <v>79</v>
      </c>
      <c r="B80" s="9">
        <v>1109.5</v>
      </c>
      <c r="C80" s="9">
        <v>1068.5999999999999</v>
      </c>
      <c r="D80" s="9">
        <f t="shared" si="28"/>
        <v>-40.900000000000091</v>
      </c>
      <c r="E80" s="9">
        <v>187.2</v>
      </c>
      <c r="F80" s="9">
        <v>179.9</v>
      </c>
      <c r="G80" s="9">
        <f t="shared" si="29"/>
        <v>-7.2999999999999829</v>
      </c>
      <c r="H80" s="9">
        <v>1120.8</v>
      </c>
      <c r="I80" s="9">
        <v>1073.8</v>
      </c>
      <c r="J80" s="9">
        <f t="shared" si="30"/>
        <v>-47</v>
      </c>
      <c r="K80" s="9">
        <v>200.3</v>
      </c>
      <c r="L80" s="9">
        <v>187.2</v>
      </c>
      <c r="M80" s="9">
        <f t="shared" si="31"/>
        <v>-13.100000000000023</v>
      </c>
      <c r="N80" s="9">
        <v>1108.4000000000001</v>
      </c>
      <c r="O80" s="9">
        <v>1066</v>
      </c>
      <c r="P80" s="9">
        <f t="shared" si="32"/>
        <v>-42.400000000000091</v>
      </c>
      <c r="Q80" s="9">
        <v>185.2</v>
      </c>
      <c r="R80" s="9">
        <v>177.2</v>
      </c>
      <c r="S80" s="9">
        <f t="shared" si="33"/>
        <v>-8</v>
      </c>
      <c r="T80" s="9">
        <v>1109.2</v>
      </c>
      <c r="U80" s="9">
        <v>1067.4000000000001</v>
      </c>
      <c r="V80" s="9">
        <f t="shared" si="34"/>
        <v>-41.799999999999955</v>
      </c>
      <c r="W80" s="9">
        <v>186</v>
      </c>
      <c r="X80" s="9">
        <v>178.4</v>
      </c>
      <c r="Y80" s="9">
        <f t="shared" si="35"/>
        <v>-7.5999999999999943</v>
      </c>
      <c r="Z80" s="9">
        <v>1109.5999999999999</v>
      </c>
      <c r="AA80" s="9">
        <v>1069.4000000000001</v>
      </c>
      <c r="AB80" s="9">
        <f t="shared" si="36"/>
        <v>-40.199999999999818</v>
      </c>
      <c r="AC80" s="9">
        <v>186.5</v>
      </c>
      <c r="AD80" s="9">
        <v>180.6</v>
      </c>
      <c r="AE80" s="9">
        <f t="shared" si="37"/>
        <v>-5.9000000000000057</v>
      </c>
      <c r="AF80" s="9">
        <v>1111.3</v>
      </c>
      <c r="AG80" s="9">
        <v>1070.5999999999999</v>
      </c>
      <c r="AH80" s="9">
        <f t="shared" si="38"/>
        <v>-40.700000000000045</v>
      </c>
      <c r="AI80" s="9">
        <v>187</v>
      </c>
      <c r="AJ80" s="9">
        <v>181.1</v>
      </c>
      <c r="AK80" s="9">
        <f t="shared" si="39"/>
        <v>-5.9000000000000057</v>
      </c>
      <c r="AL80" s="9">
        <v>1116.5</v>
      </c>
      <c r="AM80" s="9">
        <v>1075.2</v>
      </c>
      <c r="AN80" s="9">
        <f t="shared" si="40"/>
        <v>-41.299999999999955</v>
      </c>
      <c r="AO80" s="9">
        <v>188.4</v>
      </c>
      <c r="AP80" s="9">
        <v>182.3</v>
      </c>
      <c r="AQ80" s="9">
        <f t="shared" si="41"/>
        <v>-6.0999999999999943</v>
      </c>
    </row>
    <row r="81" spans="1:43" x14ac:dyDescent="0.25">
      <c r="A81" s="10">
        <v>80</v>
      </c>
      <c r="B81" s="9">
        <v>1110.3</v>
      </c>
      <c r="C81" s="9">
        <v>1063.7</v>
      </c>
      <c r="D81" s="9">
        <f t="shared" si="28"/>
        <v>-46.599999999999909</v>
      </c>
      <c r="E81" s="9">
        <v>187.3</v>
      </c>
      <c r="F81" s="9">
        <v>175.2</v>
      </c>
      <c r="G81" s="9">
        <f t="shared" si="29"/>
        <v>-12.100000000000023</v>
      </c>
      <c r="H81" s="9">
        <v>1119.7</v>
      </c>
      <c r="I81" s="9">
        <v>1072.5999999999999</v>
      </c>
      <c r="J81" s="9">
        <f t="shared" si="30"/>
        <v>-47.100000000000136</v>
      </c>
      <c r="K81" s="9">
        <v>199.8</v>
      </c>
      <c r="L81" s="9">
        <v>188.3</v>
      </c>
      <c r="M81" s="9">
        <f t="shared" si="31"/>
        <v>-11.5</v>
      </c>
      <c r="N81" s="9">
        <v>1107.7</v>
      </c>
      <c r="O81" s="9">
        <v>1063.8</v>
      </c>
      <c r="P81" s="9">
        <f t="shared" si="32"/>
        <v>-43.900000000000091</v>
      </c>
      <c r="Q81" s="9">
        <v>185</v>
      </c>
      <c r="R81" s="9">
        <v>174.5</v>
      </c>
      <c r="S81" s="9">
        <f t="shared" si="33"/>
        <v>-10.5</v>
      </c>
      <c r="T81" s="9">
        <v>1108</v>
      </c>
      <c r="U81" s="9">
        <v>1064.5999999999999</v>
      </c>
      <c r="V81" s="9">
        <f t="shared" si="34"/>
        <v>-43.400000000000091</v>
      </c>
      <c r="W81" s="9">
        <v>185.4</v>
      </c>
      <c r="X81" s="9">
        <v>175.4</v>
      </c>
      <c r="Y81" s="9">
        <f t="shared" si="35"/>
        <v>-10</v>
      </c>
      <c r="Z81" s="9">
        <v>1108</v>
      </c>
      <c r="AA81" s="9">
        <v>1065.0999999999999</v>
      </c>
      <c r="AB81" s="9">
        <f t="shared" si="36"/>
        <v>-42.900000000000091</v>
      </c>
      <c r="AC81" s="9">
        <v>185.4</v>
      </c>
      <c r="AD81" s="9">
        <v>175.9</v>
      </c>
      <c r="AE81" s="9">
        <f t="shared" si="37"/>
        <v>-9.5</v>
      </c>
      <c r="AF81" s="9">
        <v>1109.3</v>
      </c>
      <c r="AG81" s="9">
        <v>1065.9000000000001</v>
      </c>
      <c r="AH81" s="9">
        <f t="shared" si="38"/>
        <v>-43.399999999999864</v>
      </c>
      <c r="AI81" s="9">
        <v>185.9</v>
      </c>
      <c r="AJ81" s="9">
        <v>176.1</v>
      </c>
      <c r="AK81" s="9">
        <f t="shared" si="39"/>
        <v>-9.8000000000000114</v>
      </c>
      <c r="AL81" s="9">
        <v>1114.3</v>
      </c>
      <c r="AM81" s="9">
        <v>1069.8</v>
      </c>
      <c r="AN81" s="9">
        <f t="shared" si="40"/>
        <v>-44.5</v>
      </c>
      <c r="AO81" s="9">
        <v>187.1</v>
      </c>
      <c r="AP81" s="9">
        <v>177</v>
      </c>
      <c r="AQ81" s="9">
        <f t="shared" si="41"/>
        <v>-10.099999999999994</v>
      </c>
    </row>
    <row r="82" spans="1:43" x14ac:dyDescent="0.25">
      <c r="A82" s="10">
        <v>81</v>
      </c>
      <c r="B82" s="9">
        <v>1110.8</v>
      </c>
      <c r="C82" s="9">
        <v>1064.7</v>
      </c>
      <c r="D82" s="9">
        <f t="shared" si="28"/>
        <v>-46.099999999999909</v>
      </c>
      <c r="E82" s="9">
        <v>188.8</v>
      </c>
      <c r="F82" s="9">
        <v>175.9</v>
      </c>
      <c r="G82" s="9">
        <f t="shared" si="29"/>
        <v>-12.900000000000006</v>
      </c>
      <c r="H82" s="9">
        <v>1124.0999999999999</v>
      </c>
      <c r="I82" s="9">
        <v>1074</v>
      </c>
      <c r="J82" s="9">
        <f t="shared" si="30"/>
        <v>-50.099999999999909</v>
      </c>
      <c r="K82" s="9">
        <v>204.6</v>
      </c>
      <c r="L82" s="9">
        <v>187.6</v>
      </c>
      <c r="M82" s="9">
        <f t="shared" si="31"/>
        <v>-17</v>
      </c>
      <c r="N82" s="9">
        <v>1109.4000000000001</v>
      </c>
      <c r="O82" s="9">
        <v>1066.5</v>
      </c>
      <c r="P82" s="9">
        <f t="shared" si="32"/>
        <v>-42.900000000000091</v>
      </c>
      <c r="Q82" s="9">
        <v>186.4</v>
      </c>
      <c r="R82" s="9">
        <v>177</v>
      </c>
      <c r="S82" s="9">
        <f t="shared" si="33"/>
        <v>-9.4000000000000057</v>
      </c>
      <c r="T82" s="9">
        <v>1110.2</v>
      </c>
      <c r="U82" s="9">
        <v>1067.3</v>
      </c>
      <c r="V82" s="9">
        <f t="shared" si="34"/>
        <v>-42.900000000000091</v>
      </c>
      <c r="W82" s="9">
        <v>187.2</v>
      </c>
      <c r="X82" s="9">
        <v>177.9</v>
      </c>
      <c r="Y82" s="9">
        <f t="shared" si="35"/>
        <v>-9.2999999999999829</v>
      </c>
      <c r="Z82" s="9">
        <v>1110.2</v>
      </c>
      <c r="AA82" s="9">
        <v>1068</v>
      </c>
      <c r="AB82" s="9">
        <f t="shared" si="36"/>
        <v>-42.200000000000045</v>
      </c>
      <c r="AC82" s="9">
        <v>187.2</v>
      </c>
      <c r="AD82" s="9">
        <v>178.7</v>
      </c>
      <c r="AE82" s="9">
        <f t="shared" si="37"/>
        <v>-8.5</v>
      </c>
      <c r="AF82" s="9">
        <v>1111.8</v>
      </c>
      <c r="AG82" s="9">
        <v>1069.3</v>
      </c>
      <c r="AH82" s="9">
        <f t="shared" si="38"/>
        <v>-42.5</v>
      </c>
      <c r="AI82" s="9">
        <v>187.9</v>
      </c>
      <c r="AJ82" s="9">
        <v>179.2</v>
      </c>
      <c r="AK82" s="9">
        <f t="shared" si="39"/>
        <v>-8.7000000000000171</v>
      </c>
      <c r="AL82" s="9">
        <v>1117.4000000000001</v>
      </c>
      <c r="AM82" s="9">
        <v>1073.5999999999999</v>
      </c>
      <c r="AN82" s="9">
        <f t="shared" si="40"/>
        <v>-43.800000000000182</v>
      </c>
      <c r="AO82" s="9">
        <v>189.6</v>
      </c>
      <c r="AP82" s="9">
        <v>180.3</v>
      </c>
      <c r="AQ82" s="9">
        <f t="shared" si="41"/>
        <v>-9.2999999999999829</v>
      </c>
    </row>
    <row r="83" spans="1:43" x14ac:dyDescent="0.25">
      <c r="A83" s="10">
        <v>82</v>
      </c>
      <c r="B83" s="9">
        <v>1108.5</v>
      </c>
      <c r="C83" s="9">
        <v>1062.0999999999999</v>
      </c>
      <c r="D83" s="9">
        <f t="shared" si="28"/>
        <v>-46.400000000000091</v>
      </c>
      <c r="E83" s="9">
        <v>185.7</v>
      </c>
      <c r="F83" s="9">
        <v>173.7</v>
      </c>
      <c r="G83" s="9">
        <f t="shared" si="29"/>
        <v>-12</v>
      </c>
      <c r="H83" s="9">
        <v>1122.9000000000001</v>
      </c>
      <c r="I83" s="9">
        <v>1073.5</v>
      </c>
      <c r="J83" s="9">
        <f t="shared" si="30"/>
        <v>-49.400000000000091</v>
      </c>
      <c r="K83" s="9">
        <v>203.4</v>
      </c>
      <c r="L83" s="9">
        <v>187.4</v>
      </c>
      <c r="M83" s="9">
        <f t="shared" si="31"/>
        <v>-16</v>
      </c>
      <c r="N83" s="9">
        <v>1109.4000000000001</v>
      </c>
      <c r="O83" s="9">
        <v>1064.8</v>
      </c>
      <c r="P83" s="9">
        <f t="shared" si="32"/>
        <v>-44.600000000000136</v>
      </c>
      <c r="Q83" s="9">
        <v>186.8</v>
      </c>
      <c r="R83" s="9">
        <v>175.5</v>
      </c>
      <c r="S83" s="9">
        <f t="shared" si="33"/>
        <v>-11.300000000000011</v>
      </c>
      <c r="T83" s="9">
        <v>1110.2</v>
      </c>
      <c r="U83" s="9">
        <v>1065.3</v>
      </c>
      <c r="V83" s="9">
        <f t="shared" si="34"/>
        <v>-44.900000000000091</v>
      </c>
      <c r="W83" s="9">
        <v>187.6</v>
      </c>
      <c r="X83" s="9">
        <v>176.2</v>
      </c>
      <c r="Y83" s="9">
        <f t="shared" si="35"/>
        <v>-11.400000000000006</v>
      </c>
      <c r="Z83" s="9">
        <v>1110.3</v>
      </c>
      <c r="AA83" s="9">
        <v>1065.7</v>
      </c>
      <c r="AB83" s="9">
        <f t="shared" si="36"/>
        <v>-44.599999999999909</v>
      </c>
      <c r="AC83" s="9">
        <v>187.7</v>
      </c>
      <c r="AD83" s="9">
        <v>176.5</v>
      </c>
      <c r="AE83" s="9">
        <f t="shared" si="37"/>
        <v>-11.199999999999989</v>
      </c>
      <c r="AF83" s="9">
        <v>1111.8</v>
      </c>
      <c r="AG83" s="9">
        <v>1066.7</v>
      </c>
      <c r="AH83" s="9">
        <f t="shared" si="38"/>
        <v>-45.099999999999909</v>
      </c>
      <c r="AI83" s="9">
        <v>188.3</v>
      </c>
      <c r="AJ83" s="9">
        <v>176.9</v>
      </c>
      <c r="AK83" s="9">
        <f t="shared" si="39"/>
        <v>-11.400000000000006</v>
      </c>
      <c r="AL83" s="9">
        <v>1117.0999999999999</v>
      </c>
      <c r="AM83" s="9">
        <v>1070.7</v>
      </c>
      <c r="AN83" s="9">
        <f t="shared" si="40"/>
        <v>-46.399999999999864</v>
      </c>
      <c r="AO83" s="9">
        <v>189.7</v>
      </c>
      <c r="AP83" s="9">
        <v>177.8</v>
      </c>
      <c r="AQ83" s="9">
        <f t="shared" si="41"/>
        <v>-11.899999999999977</v>
      </c>
    </row>
    <row r="84" spans="1:43" x14ac:dyDescent="0.25">
      <c r="A84" s="10">
        <v>83</v>
      </c>
      <c r="B84" s="9">
        <v>1113.5999999999999</v>
      </c>
      <c r="C84" s="9">
        <v>1064.4000000000001</v>
      </c>
      <c r="D84" s="9">
        <f t="shared" si="28"/>
        <v>-49.199999999999818</v>
      </c>
      <c r="E84" s="9">
        <v>190.8</v>
      </c>
      <c r="F84" s="9">
        <v>175.5</v>
      </c>
      <c r="G84" s="9">
        <f t="shared" si="29"/>
        <v>-15.300000000000011</v>
      </c>
      <c r="H84" s="9">
        <v>1121.8</v>
      </c>
      <c r="I84" s="9">
        <v>1071.5</v>
      </c>
      <c r="J84" s="9">
        <f t="shared" si="30"/>
        <v>-50.299999999999955</v>
      </c>
      <c r="K84" s="9">
        <v>202.7</v>
      </c>
      <c r="L84" s="9">
        <v>185.8</v>
      </c>
      <c r="M84" s="9">
        <f t="shared" si="31"/>
        <v>-16.899999999999977</v>
      </c>
      <c r="N84" s="9">
        <v>1109.4000000000001</v>
      </c>
      <c r="O84" s="9">
        <v>1065.4000000000001</v>
      </c>
      <c r="P84" s="9">
        <f t="shared" si="32"/>
        <v>-44</v>
      </c>
      <c r="Q84" s="9">
        <v>187.5</v>
      </c>
      <c r="R84" s="9">
        <v>175.9</v>
      </c>
      <c r="S84" s="9">
        <f t="shared" si="33"/>
        <v>-11.599999999999994</v>
      </c>
      <c r="T84" s="9">
        <v>1110.0999999999999</v>
      </c>
      <c r="U84" s="9">
        <v>1066.5999999999999</v>
      </c>
      <c r="V84" s="9">
        <f t="shared" si="34"/>
        <v>-43.5</v>
      </c>
      <c r="W84" s="9">
        <v>188.2</v>
      </c>
      <c r="X84" s="9">
        <v>177.2</v>
      </c>
      <c r="Y84" s="9">
        <f t="shared" si="35"/>
        <v>-11</v>
      </c>
      <c r="Z84" s="9">
        <v>1110.0999999999999</v>
      </c>
      <c r="AA84" s="9">
        <v>1068.4000000000001</v>
      </c>
      <c r="AB84" s="9">
        <f t="shared" si="36"/>
        <v>-41.699999999999818</v>
      </c>
      <c r="AC84" s="9">
        <v>188.2</v>
      </c>
      <c r="AD84" s="9">
        <v>178.9</v>
      </c>
      <c r="AE84" s="9">
        <f t="shared" si="37"/>
        <v>-9.2999999999999829</v>
      </c>
      <c r="AF84" s="9">
        <v>1111.5999999999999</v>
      </c>
      <c r="AG84" s="9">
        <v>1069.5999999999999</v>
      </c>
      <c r="AH84" s="9">
        <f t="shared" si="38"/>
        <v>-42</v>
      </c>
      <c r="AI84" s="9">
        <v>188.8</v>
      </c>
      <c r="AJ84" s="9">
        <v>179.4</v>
      </c>
      <c r="AK84" s="9">
        <f t="shared" si="39"/>
        <v>-9.4000000000000057</v>
      </c>
      <c r="AL84" s="9">
        <v>1116.9000000000001</v>
      </c>
      <c r="AM84" s="9">
        <v>1074.0999999999999</v>
      </c>
      <c r="AN84" s="9">
        <f t="shared" si="40"/>
        <v>-42.800000000000182</v>
      </c>
      <c r="AO84" s="9">
        <v>190.3</v>
      </c>
      <c r="AP84" s="9">
        <v>180.5</v>
      </c>
      <c r="AQ84" s="9">
        <f t="shared" si="41"/>
        <v>-9.8000000000000114</v>
      </c>
    </row>
    <row r="85" spans="1:43" x14ac:dyDescent="0.25">
      <c r="A85" s="10">
        <v>84</v>
      </c>
      <c r="B85" s="9">
        <v>1109.3</v>
      </c>
      <c r="C85" s="9">
        <v>1064.2</v>
      </c>
      <c r="D85" s="9">
        <f t="shared" si="28"/>
        <v>-45.099999999999909</v>
      </c>
      <c r="E85" s="9">
        <v>187.2</v>
      </c>
      <c r="F85" s="9">
        <v>174.6</v>
      </c>
      <c r="G85" s="9">
        <f t="shared" si="29"/>
        <v>-12.599999999999994</v>
      </c>
      <c r="H85" s="9">
        <v>1120.5999999999999</v>
      </c>
      <c r="I85" s="9">
        <v>1076</v>
      </c>
      <c r="J85" s="9">
        <f t="shared" si="30"/>
        <v>-44.599999999999909</v>
      </c>
      <c r="K85" s="9">
        <v>201.4</v>
      </c>
      <c r="L85" s="9">
        <v>190.6</v>
      </c>
      <c r="M85" s="9">
        <f t="shared" si="31"/>
        <v>-10.800000000000011</v>
      </c>
      <c r="N85" s="9">
        <v>1107.8</v>
      </c>
      <c r="O85" s="9">
        <v>1063.3</v>
      </c>
      <c r="P85" s="9">
        <f t="shared" si="32"/>
        <v>-44.5</v>
      </c>
      <c r="Q85" s="9">
        <v>185.4</v>
      </c>
      <c r="R85" s="9">
        <v>174.4</v>
      </c>
      <c r="S85" s="9">
        <f t="shared" si="33"/>
        <v>-11</v>
      </c>
      <c r="T85" s="9">
        <v>1108.0999999999999</v>
      </c>
      <c r="U85" s="9">
        <v>1063.9000000000001</v>
      </c>
      <c r="V85" s="9">
        <f t="shared" si="34"/>
        <v>-44.199999999999818</v>
      </c>
      <c r="W85" s="9">
        <v>185.8</v>
      </c>
      <c r="X85" s="9">
        <v>175</v>
      </c>
      <c r="Y85" s="9">
        <f t="shared" si="35"/>
        <v>-10.800000000000011</v>
      </c>
      <c r="Z85" s="9">
        <v>1108.2</v>
      </c>
      <c r="AA85" s="9">
        <v>1064</v>
      </c>
      <c r="AB85" s="9">
        <f t="shared" si="36"/>
        <v>-44.200000000000045</v>
      </c>
      <c r="AC85" s="9">
        <v>185.8</v>
      </c>
      <c r="AD85" s="9">
        <v>175.2</v>
      </c>
      <c r="AE85" s="9">
        <f t="shared" si="37"/>
        <v>-10.600000000000023</v>
      </c>
      <c r="AF85" s="9">
        <v>1109.0999999999999</v>
      </c>
      <c r="AG85" s="9">
        <v>1064.8</v>
      </c>
      <c r="AH85" s="9">
        <f t="shared" si="38"/>
        <v>-44.299999999999955</v>
      </c>
      <c r="AI85" s="9">
        <v>186</v>
      </c>
      <c r="AJ85" s="9">
        <v>175.5</v>
      </c>
      <c r="AK85" s="9">
        <f t="shared" si="39"/>
        <v>-10.5</v>
      </c>
      <c r="AL85" s="9">
        <v>1113.8</v>
      </c>
      <c r="AM85" s="9">
        <v>1068.2</v>
      </c>
      <c r="AN85" s="9">
        <f t="shared" si="40"/>
        <v>-45.599999999999909</v>
      </c>
      <c r="AO85" s="9">
        <v>187.1</v>
      </c>
      <c r="AP85" s="9">
        <v>176</v>
      </c>
      <c r="AQ85" s="9">
        <f t="shared" si="41"/>
        <v>-11.099999999999994</v>
      </c>
    </row>
    <row r="86" spans="1:43" x14ac:dyDescent="0.25">
      <c r="A86" s="10">
        <v>85</v>
      </c>
      <c r="B86" s="9">
        <v>1110.4000000000001</v>
      </c>
      <c r="C86" s="9">
        <v>1066.8</v>
      </c>
      <c r="D86" s="9">
        <f t="shared" si="28"/>
        <v>-43.600000000000136</v>
      </c>
      <c r="E86" s="9">
        <v>189.1</v>
      </c>
      <c r="F86" s="9">
        <v>178.1</v>
      </c>
      <c r="G86" s="9">
        <f t="shared" si="29"/>
        <v>-11</v>
      </c>
      <c r="H86" s="9">
        <v>1126.5999999999999</v>
      </c>
      <c r="I86" s="9">
        <v>1072.4000000000001</v>
      </c>
      <c r="J86" s="9">
        <f t="shared" si="30"/>
        <v>-54.199999999999818</v>
      </c>
      <c r="K86" s="9">
        <v>206.5</v>
      </c>
      <c r="L86" s="9">
        <v>187.4</v>
      </c>
      <c r="M86" s="9">
        <f t="shared" si="31"/>
        <v>-19.099999999999994</v>
      </c>
      <c r="N86" s="9">
        <v>1108.5</v>
      </c>
      <c r="O86" s="9">
        <v>1064.9000000000001</v>
      </c>
      <c r="P86" s="9">
        <f t="shared" si="32"/>
        <v>-43.599999999999909</v>
      </c>
      <c r="Q86" s="9">
        <v>186.3</v>
      </c>
      <c r="R86" s="9">
        <v>176.4</v>
      </c>
      <c r="S86" s="9">
        <f t="shared" si="33"/>
        <v>-9.9000000000000057</v>
      </c>
      <c r="T86" s="9">
        <v>1109.4000000000001</v>
      </c>
      <c r="U86" s="9">
        <v>1065.2</v>
      </c>
      <c r="V86" s="9">
        <f t="shared" si="34"/>
        <v>-44.200000000000045</v>
      </c>
      <c r="W86" s="9">
        <v>187.3</v>
      </c>
      <c r="X86" s="9">
        <v>177</v>
      </c>
      <c r="Y86" s="9">
        <f t="shared" si="35"/>
        <v>-10.300000000000011</v>
      </c>
      <c r="Z86" s="9">
        <v>1111.3</v>
      </c>
      <c r="AA86" s="9">
        <v>1070.4000000000001</v>
      </c>
      <c r="AB86" s="9">
        <f t="shared" si="36"/>
        <v>-40.899999999999864</v>
      </c>
      <c r="AC86" s="9">
        <v>189.1</v>
      </c>
      <c r="AD86" s="9">
        <v>182.2</v>
      </c>
      <c r="AE86" s="9">
        <f t="shared" si="37"/>
        <v>-6.9000000000000057</v>
      </c>
      <c r="AF86" s="9">
        <v>1113.3</v>
      </c>
      <c r="AG86" s="9">
        <v>1071.7</v>
      </c>
      <c r="AH86" s="9">
        <f t="shared" si="38"/>
        <v>-41.599999999999909</v>
      </c>
      <c r="AI86" s="9">
        <v>190.1</v>
      </c>
      <c r="AJ86" s="9">
        <v>182.7</v>
      </c>
      <c r="AK86" s="9">
        <f t="shared" si="39"/>
        <v>-7.4000000000000057</v>
      </c>
      <c r="AL86" s="9">
        <v>1118.5999999999999</v>
      </c>
      <c r="AM86" s="9">
        <v>1076.3</v>
      </c>
      <c r="AN86" s="9">
        <f t="shared" si="40"/>
        <v>-42.299999999999955</v>
      </c>
      <c r="AO86" s="9">
        <v>191.5</v>
      </c>
      <c r="AP86" s="9">
        <v>183.9</v>
      </c>
      <c r="AQ86" s="9">
        <f t="shared" si="41"/>
        <v>-7.5999999999999943</v>
      </c>
    </row>
    <row r="87" spans="1:43" x14ac:dyDescent="0.25">
      <c r="A87" s="10">
        <v>86</v>
      </c>
      <c r="B87" s="9">
        <v>1107</v>
      </c>
      <c r="C87" s="9">
        <v>1062.8</v>
      </c>
      <c r="D87" s="9">
        <f t="shared" si="28"/>
        <v>-44.200000000000045</v>
      </c>
      <c r="E87" s="9">
        <v>185.6</v>
      </c>
      <c r="F87" s="9">
        <v>174.2</v>
      </c>
      <c r="G87" s="9">
        <f t="shared" si="29"/>
        <v>-11.400000000000006</v>
      </c>
      <c r="H87" s="9">
        <v>1122.9000000000001</v>
      </c>
      <c r="I87" s="9">
        <v>1074.7</v>
      </c>
      <c r="J87" s="9">
        <f t="shared" si="30"/>
        <v>-48.200000000000045</v>
      </c>
      <c r="K87" s="9">
        <v>203.3</v>
      </c>
      <c r="L87" s="9">
        <v>189.3</v>
      </c>
      <c r="M87" s="9">
        <f t="shared" si="31"/>
        <v>-14</v>
      </c>
      <c r="N87" s="9">
        <v>1110.2</v>
      </c>
      <c r="O87" s="9">
        <v>1063</v>
      </c>
      <c r="P87" s="9">
        <f t="shared" si="32"/>
        <v>-47.200000000000045</v>
      </c>
      <c r="Q87" s="9">
        <v>187.5</v>
      </c>
      <c r="R87" s="9">
        <v>174.1</v>
      </c>
      <c r="S87" s="9">
        <f t="shared" si="33"/>
        <v>-13.400000000000006</v>
      </c>
      <c r="T87" s="9">
        <v>1111</v>
      </c>
      <c r="U87" s="9">
        <v>1063.7</v>
      </c>
      <c r="V87" s="9">
        <f t="shared" si="34"/>
        <v>-47.299999999999955</v>
      </c>
      <c r="W87" s="9">
        <v>188.2</v>
      </c>
      <c r="X87" s="9">
        <v>174.8</v>
      </c>
      <c r="Y87" s="9">
        <f t="shared" si="35"/>
        <v>-13.399999999999977</v>
      </c>
      <c r="Z87" s="9">
        <v>1111</v>
      </c>
      <c r="AA87" s="9">
        <v>1063.9000000000001</v>
      </c>
      <c r="AB87" s="9">
        <f t="shared" si="36"/>
        <v>-47.099999999999909</v>
      </c>
      <c r="AC87" s="9">
        <v>188.3</v>
      </c>
      <c r="AD87" s="9">
        <v>175</v>
      </c>
      <c r="AE87" s="9">
        <f t="shared" si="37"/>
        <v>-13.300000000000011</v>
      </c>
      <c r="AF87" s="9">
        <v>1112.9000000000001</v>
      </c>
      <c r="AG87" s="9">
        <v>1064.8</v>
      </c>
      <c r="AH87" s="9">
        <f t="shared" si="38"/>
        <v>-48.100000000000136</v>
      </c>
      <c r="AI87" s="9">
        <v>188.9</v>
      </c>
      <c r="AJ87" s="9">
        <v>175.3</v>
      </c>
      <c r="AK87" s="9">
        <f t="shared" si="39"/>
        <v>-13.599999999999994</v>
      </c>
      <c r="AL87" s="9">
        <v>1118.5999999999999</v>
      </c>
      <c r="AM87" s="9">
        <v>1069</v>
      </c>
      <c r="AN87" s="9">
        <f t="shared" si="40"/>
        <v>-49.599999999999909</v>
      </c>
      <c r="AO87" s="9">
        <v>190.6</v>
      </c>
      <c r="AP87" s="9">
        <v>176.4</v>
      </c>
      <c r="AQ87" s="9">
        <f t="shared" si="41"/>
        <v>-14.199999999999989</v>
      </c>
    </row>
    <row r="88" spans="1:43" x14ac:dyDescent="0.25">
      <c r="A88" s="10">
        <v>87</v>
      </c>
      <c r="B88" s="9">
        <v>1111</v>
      </c>
      <c r="C88" s="9">
        <v>1065.3</v>
      </c>
      <c r="D88" s="9">
        <f t="shared" si="28"/>
        <v>-45.700000000000045</v>
      </c>
      <c r="E88" s="9">
        <v>189.1</v>
      </c>
      <c r="F88" s="9">
        <v>176.7</v>
      </c>
      <c r="G88" s="9">
        <f t="shared" si="29"/>
        <v>-12.400000000000006</v>
      </c>
      <c r="H88" s="9">
        <v>1121.8</v>
      </c>
      <c r="I88" s="9">
        <v>1072.5</v>
      </c>
      <c r="J88" s="9">
        <f t="shared" si="30"/>
        <v>-49.299999999999955</v>
      </c>
      <c r="K88" s="9">
        <v>202</v>
      </c>
      <c r="L88" s="9">
        <v>187</v>
      </c>
      <c r="M88" s="9">
        <f t="shared" si="31"/>
        <v>-15</v>
      </c>
      <c r="N88" s="9">
        <v>1109.5</v>
      </c>
      <c r="O88" s="9">
        <v>1062.3</v>
      </c>
      <c r="P88" s="9">
        <f t="shared" si="32"/>
        <v>-47.200000000000045</v>
      </c>
      <c r="Q88" s="9">
        <v>187.3</v>
      </c>
      <c r="R88" s="9">
        <v>173.7</v>
      </c>
      <c r="S88" s="9">
        <f t="shared" si="33"/>
        <v>-13.600000000000023</v>
      </c>
      <c r="T88" s="9">
        <v>1110.0999999999999</v>
      </c>
      <c r="U88" s="9">
        <v>1063</v>
      </c>
      <c r="V88" s="9">
        <f t="shared" si="34"/>
        <v>-47.099999999999909</v>
      </c>
      <c r="W88" s="9">
        <v>188.1</v>
      </c>
      <c r="X88" s="9">
        <v>174.3</v>
      </c>
      <c r="Y88" s="9">
        <f t="shared" si="35"/>
        <v>-13.799999999999983</v>
      </c>
      <c r="Z88" s="9">
        <v>1110.4000000000001</v>
      </c>
      <c r="AA88" s="9">
        <v>1063.4000000000001</v>
      </c>
      <c r="AB88" s="9">
        <f t="shared" si="36"/>
        <v>-47</v>
      </c>
      <c r="AC88" s="9">
        <v>188.3</v>
      </c>
      <c r="AD88" s="9">
        <v>174.8</v>
      </c>
      <c r="AE88" s="9">
        <f t="shared" si="37"/>
        <v>-13.5</v>
      </c>
      <c r="AF88" s="9">
        <v>1112.0999999999999</v>
      </c>
      <c r="AG88" s="9">
        <v>1064.2</v>
      </c>
      <c r="AH88" s="9">
        <f t="shared" si="38"/>
        <v>-47.899999999999864</v>
      </c>
      <c r="AI88" s="9">
        <v>189</v>
      </c>
      <c r="AJ88" s="9">
        <v>175.1</v>
      </c>
      <c r="AK88" s="9">
        <f t="shared" si="39"/>
        <v>-13.900000000000006</v>
      </c>
      <c r="AL88" s="9">
        <v>1117.2</v>
      </c>
      <c r="AM88" s="9">
        <v>1068.5999999999999</v>
      </c>
      <c r="AN88" s="9">
        <f t="shared" si="40"/>
        <v>-48.600000000000136</v>
      </c>
      <c r="AO88" s="9">
        <v>190.1</v>
      </c>
      <c r="AP88" s="9">
        <v>176.4</v>
      </c>
      <c r="AQ88" s="9">
        <f t="shared" si="41"/>
        <v>-13.699999999999989</v>
      </c>
    </row>
    <row r="89" spans="1:43" x14ac:dyDescent="0.25">
      <c r="A89" s="10">
        <v>88</v>
      </c>
      <c r="B89" s="9">
        <v>1109.8</v>
      </c>
      <c r="C89" s="9">
        <v>1064</v>
      </c>
      <c r="D89" s="9">
        <f t="shared" si="28"/>
        <v>-45.799999999999955</v>
      </c>
      <c r="E89" s="9">
        <v>187.6</v>
      </c>
      <c r="F89" s="9">
        <v>174.5</v>
      </c>
      <c r="G89" s="9">
        <f t="shared" si="29"/>
        <v>-13.099999999999994</v>
      </c>
      <c r="H89" s="9">
        <v>1119.8</v>
      </c>
      <c r="I89" s="9">
        <v>1073.7</v>
      </c>
      <c r="J89" s="9">
        <f t="shared" si="30"/>
        <v>-46.099999999999909</v>
      </c>
      <c r="K89" s="9">
        <v>199.8</v>
      </c>
      <c r="L89" s="9">
        <v>187.8</v>
      </c>
      <c r="M89" s="9">
        <f t="shared" si="31"/>
        <v>-12</v>
      </c>
      <c r="N89" s="9">
        <v>1110.5</v>
      </c>
      <c r="O89" s="9">
        <v>1064.2</v>
      </c>
      <c r="P89" s="9">
        <f t="shared" si="32"/>
        <v>-46.299999999999955</v>
      </c>
      <c r="Q89" s="9">
        <v>188.8</v>
      </c>
      <c r="R89" s="9">
        <v>174.8</v>
      </c>
      <c r="S89" s="9">
        <f t="shared" si="33"/>
        <v>-14</v>
      </c>
      <c r="T89" s="9">
        <v>1111</v>
      </c>
      <c r="U89" s="9">
        <v>1065.2</v>
      </c>
      <c r="V89" s="9">
        <f t="shared" si="34"/>
        <v>-45.799999999999955</v>
      </c>
      <c r="W89" s="9">
        <v>189.4</v>
      </c>
      <c r="X89" s="9">
        <v>175.8</v>
      </c>
      <c r="Y89" s="9">
        <f t="shared" si="35"/>
        <v>-13.599999999999994</v>
      </c>
      <c r="Z89" s="9">
        <v>1111</v>
      </c>
      <c r="AA89" s="9">
        <v>1065.3</v>
      </c>
      <c r="AB89" s="9">
        <f t="shared" si="36"/>
        <v>-45.700000000000045</v>
      </c>
      <c r="AC89" s="9">
        <v>189.3</v>
      </c>
      <c r="AD89" s="9">
        <v>176</v>
      </c>
      <c r="AE89" s="9">
        <f t="shared" si="37"/>
        <v>-13.300000000000011</v>
      </c>
      <c r="AF89" s="9">
        <v>1112.7</v>
      </c>
      <c r="AG89" s="9">
        <v>1066.0999999999999</v>
      </c>
      <c r="AH89" s="9">
        <f t="shared" si="38"/>
        <v>-46.600000000000136</v>
      </c>
      <c r="AI89" s="9">
        <v>190</v>
      </c>
      <c r="AJ89" s="9">
        <v>176.3</v>
      </c>
      <c r="AK89" s="9">
        <f t="shared" si="39"/>
        <v>-13.699999999999989</v>
      </c>
      <c r="AL89" s="9">
        <v>1117.8</v>
      </c>
      <c r="AM89" s="9">
        <v>1069.7</v>
      </c>
      <c r="AN89" s="9">
        <f t="shared" si="40"/>
        <v>-48.099999999999909</v>
      </c>
      <c r="AO89" s="9">
        <v>191.3</v>
      </c>
      <c r="AP89" s="9">
        <v>177.1</v>
      </c>
      <c r="AQ89" s="9">
        <f t="shared" si="41"/>
        <v>-14.200000000000017</v>
      </c>
    </row>
    <row r="90" spans="1:43" x14ac:dyDescent="0.25">
      <c r="A90" s="10">
        <v>89</v>
      </c>
      <c r="B90" s="9">
        <v>1109.5999999999999</v>
      </c>
      <c r="C90" s="9">
        <v>1065.4000000000001</v>
      </c>
      <c r="D90" s="9">
        <f t="shared" si="28"/>
        <v>-44.199999999999818</v>
      </c>
      <c r="E90" s="9">
        <v>186.9</v>
      </c>
      <c r="F90" s="9">
        <v>176.5</v>
      </c>
      <c r="G90" s="9">
        <f t="shared" si="29"/>
        <v>-10.400000000000006</v>
      </c>
      <c r="H90" s="9">
        <v>1124</v>
      </c>
      <c r="I90" s="9">
        <v>1078.5</v>
      </c>
      <c r="J90" s="9">
        <f t="shared" si="30"/>
        <v>-45.5</v>
      </c>
      <c r="K90" s="9">
        <v>204.5</v>
      </c>
      <c r="L90" s="9">
        <v>192.6</v>
      </c>
      <c r="M90" s="9">
        <f t="shared" si="31"/>
        <v>-11.900000000000006</v>
      </c>
      <c r="N90" s="9">
        <v>1111.4000000000001</v>
      </c>
      <c r="O90" s="9">
        <v>1064.2</v>
      </c>
      <c r="P90" s="9">
        <f t="shared" si="32"/>
        <v>-47.200000000000045</v>
      </c>
      <c r="Q90" s="9">
        <v>188.3</v>
      </c>
      <c r="R90" s="9">
        <v>175.3</v>
      </c>
      <c r="S90" s="9">
        <f t="shared" si="33"/>
        <v>-13</v>
      </c>
      <c r="T90" s="9">
        <v>1111.8</v>
      </c>
      <c r="U90" s="9">
        <v>1064.7</v>
      </c>
      <c r="V90" s="9">
        <f t="shared" si="34"/>
        <v>-47.099999999999909</v>
      </c>
      <c r="W90" s="9">
        <v>188.7</v>
      </c>
      <c r="X90" s="9">
        <v>175.8</v>
      </c>
      <c r="Y90" s="9">
        <f t="shared" si="35"/>
        <v>-12.899999999999977</v>
      </c>
      <c r="Z90" s="9">
        <v>1111.8</v>
      </c>
      <c r="AA90" s="9">
        <v>1065</v>
      </c>
      <c r="AB90" s="9">
        <f t="shared" si="36"/>
        <v>-46.799999999999955</v>
      </c>
      <c r="AC90" s="9">
        <v>188.7</v>
      </c>
      <c r="AD90" s="9">
        <v>176.1</v>
      </c>
      <c r="AE90" s="9">
        <f t="shared" si="37"/>
        <v>-12.599999999999994</v>
      </c>
      <c r="AF90" s="9">
        <v>1113.4000000000001</v>
      </c>
      <c r="AG90" s="9">
        <v>1065.7</v>
      </c>
      <c r="AH90" s="9">
        <f t="shared" si="38"/>
        <v>-47.700000000000045</v>
      </c>
      <c r="AI90" s="9">
        <v>189.3</v>
      </c>
      <c r="AJ90" s="9">
        <v>176.4</v>
      </c>
      <c r="AK90" s="9">
        <f t="shared" si="39"/>
        <v>-12.900000000000006</v>
      </c>
      <c r="AL90" s="9">
        <v>1118.9000000000001</v>
      </c>
      <c r="AM90" s="9">
        <v>1069.5</v>
      </c>
      <c r="AN90" s="9">
        <f t="shared" si="40"/>
        <v>-49.400000000000091</v>
      </c>
      <c r="AO90" s="9">
        <v>190.8</v>
      </c>
      <c r="AP90" s="9">
        <v>177.2</v>
      </c>
      <c r="AQ90" s="9">
        <f t="shared" si="41"/>
        <v>-13.600000000000023</v>
      </c>
    </row>
    <row r="91" spans="1:43" x14ac:dyDescent="0.25">
      <c r="A91" s="10">
        <v>90</v>
      </c>
      <c r="B91" s="9">
        <v>1108.0999999999999</v>
      </c>
      <c r="C91" s="9">
        <v>1065.4000000000001</v>
      </c>
      <c r="D91" s="9">
        <f t="shared" si="28"/>
        <v>-42.699999999999818</v>
      </c>
      <c r="E91" s="9">
        <v>186.7</v>
      </c>
      <c r="F91" s="9">
        <v>177.4</v>
      </c>
      <c r="G91" s="9">
        <f t="shared" si="29"/>
        <v>-9.2999999999999829</v>
      </c>
      <c r="H91" s="9">
        <v>1120.3</v>
      </c>
      <c r="I91" s="9">
        <v>1074</v>
      </c>
      <c r="J91" s="9">
        <f t="shared" si="30"/>
        <v>-46.299999999999955</v>
      </c>
      <c r="K91" s="9">
        <v>201</v>
      </c>
      <c r="L91" s="9">
        <v>188.6</v>
      </c>
      <c r="M91" s="9">
        <f t="shared" si="31"/>
        <v>-12.400000000000006</v>
      </c>
      <c r="N91" s="9">
        <v>1107.4000000000001</v>
      </c>
      <c r="O91" s="9">
        <v>1065.7</v>
      </c>
      <c r="P91" s="9">
        <f t="shared" si="32"/>
        <v>-41.700000000000045</v>
      </c>
      <c r="Q91" s="9">
        <v>186.4</v>
      </c>
      <c r="R91" s="9">
        <v>176.7</v>
      </c>
      <c r="S91" s="9">
        <f t="shared" si="33"/>
        <v>-9.7000000000000171</v>
      </c>
      <c r="T91" s="9">
        <v>1108.2</v>
      </c>
      <c r="U91" s="9">
        <v>1066.3</v>
      </c>
      <c r="V91" s="9">
        <f t="shared" si="34"/>
        <v>-41.900000000000091</v>
      </c>
      <c r="W91" s="9">
        <v>187.2</v>
      </c>
      <c r="X91" s="9">
        <v>177.3</v>
      </c>
      <c r="Y91" s="9">
        <f t="shared" si="35"/>
        <v>-9.8999999999999773</v>
      </c>
      <c r="Z91" s="9">
        <v>1108.8</v>
      </c>
      <c r="AA91" s="9">
        <v>1066.4000000000001</v>
      </c>
      <c r="AB91" s="9">
        <f t="shared" si="36"/>
        <v>-42.399999999999864</v>
      </c>
      <c r="AC91" s="9">
        <v>187.8</v>
      </c>
      <c r="AD91" s="9">
        <v>177.4</v>
      </c>
      <c r="AE91" s="9">
        <f t="shared" si="37"/>
        <v>-10.400000000000006</v>
      </c>
      <c r="AF91" s="9">
        <v>1110.4000000000001</v>
      </c>
      <c r="AG91" s="9">
        <v>1066.9000000000001</v>
      </c>
      <c r="AH91" s="9">
        <f t="shared" si="38"/>
        <v>-43.5</v>
      </c>
      <c r="AI91" s="9">
        <v>188.5</v>
      </c>
      <c r="AJ91" s="9">
        <v>177.5</v>
      </c>
      <c r="AK91" s="9">
        <f t="shared" si="39"/>
        <v>-11</v>
      </c>
      <c r="AL91" s="9">
        <v>1115.8</v>
      </c>
      <c r="AM91" s="9">
        <v>1070.8</v>
      </c>
      <c r="AN91" s="9">
        <f t="shared" si="40"/>
        <v>-45</v>
      </c>
      <c r="AO91" s="9">
        <v>190</v>
      </c>
      <c r="AP91" s="9">
        <v>178.4</v>
      </c>
      <c r="AQ91" s="9">
        <f t="shared" si="41"/>
        <v>-11.599999999999994</v>
      </c>
    </row>
    <row r="92" spans="1:43" x14ac:dyDescent="0.25">
      <c r="A92" s="10">
        <v>91</v>
      </c>
      <c r="B92" s="9">
        <v>1115.3</v>
      </c>
      <c r="C92" s="9">
        <v>1064.4000000000001</v>
      </c>
      <c r="D92" s="9">
        <f t="shared" si="28"/>
        <v>-50.899999999999864</v>
      </c>
      <c r="E92" s="9">
        <v>192.9</v>
      </c>
      <c r="F92" s="9">
        <v>175.6</v>
      </c>
      <c r="G92" s="9">
        <f t="shared" si="29"/>
        <v>-17.300000000000011</v>
      </c>
      <c r="H92" s="9">
        <v>1120.0999999999999</v>
      </c>
      <c r="I92" s="9">
        <v>1073.7</v>
      </c>
      <c r="J92" s="9">
        <f t="shared" si="30"/>
        <v>-46.399999999999864</v>
      </c>
      <c r="K92" s="9">
        <v>200.7</v>
      </c>
      <c r="L92" s="9">
        <v>187.7</v>
      </c>
      <c r="M92" s="9">
        <f t="shared" si="31"/>
        <v>-13</v>
      </c>
      <c r="N92" s="9">
        <v>1108.5999999999999</v>
      </c>
      <c r="O92" s="9">
        <v>1062.5999999999999</v>
      </c>
      <c r="P92" s="9">
        <f t="shared" si="32"/>
        <v>-46</v>
      </c>
      <c r="Q92" s="9">
        <v>186.2</v>
      </c>
      <c r="R92" s="9">
        <v>173.7</v>
      </c>
      <c r="S92" s="9">
        <f t="shared" si="33"/>
        <v>-12.5</v>
      </c>
      <c r="T92" s="9">
        <v>1109.5999999999999</v>
      </c>
      <c r="U92" s="9">
        <v>1063.0999999999999</v>
      </c>
      <c r="V92" s="9">
        <f t="shared" si="34"/>
        <v>-46.5</v>
      </c>
      <c r="W92" s="9">
        <v>187.2</v>
      </c>
      <c r="X92" s="9">
        <v>174.3</v>
      </c>
      <c r="Y92" s="9">
        <f t="shared" si="35"/>
        <v>-12.899999999999977</v>
      </c>
      <c r="Z92" s="9">
        <v>1109.8</v>
      </c>
      <c r="AA92" s="9">
        <v>1063.3</v>
      </c>
      <c r="AB92" s="9">
        <f t="shared" si="36"/>
        <v>-46.5</v>
      </c>
      <c r="AC92" s="9">
        <v>187.4</v>
      </c>
      <c r="AD92" s="9">
        <v>174.5</v>
      </c>
      <c r="AE92" s="9">
        <f t="shared" si="37"/>
        <v>-12.900000000000006</v>
      </c>
      <c r="AF92" s="9">
        <v>1111.2</v>
      </c>
      <c r="AG92" s="9">
        <v>1064.0999999999999</v>
      </c>
      <c r="AH92" s="9">
        <f t="shared" si="38"/>
        <v>-47.100000000000136</v>
      </c>
      <c r="AI92" s="9">
        <v>187.9</v>
      </c>
      <c r="AJ92" s="9">
        <v>174.8</v>
      </c>
      <c r="AK92" s="9">
        <f t="shared" si="39"/>
        <v>-13.099999999999994</v>
      </c>
      <c r="AL92" s="9">
        <v>1116.5</v>
      </c>
      <c r="AM92" s="9">
        <v>1068.3</v>
      </c>
      <c r="AN92" s="9">
        <f t="shared" si="40"/>
        <v>-48.200000000000045</v>
      </c>
      <c r="AO92" s="9">
        <v>189.4</v>
      </c>
      <c r="AP92" s="9">
        <v>176</v>
      </c>
      <c r="AQ92" s="9">
        <f t="shared" si="41"/>
        <v>-13.400000000000006</v>
      </c>
    </row>
    <row r="93" spans="1:43" x14ac:dyDescent="0.25">
      <c r="A93" s="10">
        <v>92</v>
      </c>
      <c r="B93" s="9">
        <v>1107.7</v>
      </c>
      <c r="C93" s="9">
        <v>1064.8</v>
      </c>
      <c r="D93" s="9">
        <f t="shared" si="28"/>
        <v>-42.900000000000091</v>
      </c>
      <c r="E93" s="9">
        <v>185.9</v>
      </c>
      <c r="F93" s="9">
        <v>175.8</v>
      </c>
      <c r="G93" s="9">
        <f t="shared" si="29"/>
        <v>-10.099999999999994</v>
      </c>
      <c r="H93" s="9">
        <v>1122.5999999999999</v>
      </c>
      <c r="I93" s="9">
        <v>1075.5999999999999</v>
      </c>
      <c r="J93" s="9">
        <f t="shared" si="30"/>
        <v>-47</v>
      </c>
      <c r="K93" s="9">
        <v>203.3</v>
      </c>
      <c r="L93" s="9">
        <v>189.1</v>
      </c>
      <c r="M93" s="9">
        <f t="shared" si="31"/>
        <v>-14.200000000000017</v>
      </c>
      <c r="N93" s="9">
        <v>1107.9000000000001</v>
      </c>
      <c r="O93" s="9">
        <v>1065.3</v>
      </c>
      <c r="P93" s="9">
        <f t="shared" si="32"/>
        <v>-42.600000000000136</v>
      </c>
      <c r="Q93" s="9">
        <v>185.7</v>
      </c>
      <c r="R93" s="9">
        <v>176.3</v>
      </c>
      <c r="S93" s="9">
        <f t="shared" si="33"/>
        <v>-9.3999999999999773</v>
      </c>
      <c r="T93" s="9">
        <v>1109</v>
      </c>
      <c r="U93" s="9">
        <v>1065.8</v>
      </c>
      <c r="V93" s="9">
        <f t="shared" si="34"/>
        <v>-43.200000000000045</v>
      </c>
      <c r="W93" s="9">
        <v>186.8</v>
      </c>
      <c r="X93" s="9">
        <v>176.8</v>
      </c>
      <c r="Y93" s="9">
        <f t="shared" si="35"/>
        <v>-10</v>
      </c>
      <c r="Z93" s="9">
        <v>1109.5999999999999</v>
      </c>
      <c r="AA93" s="9">
        <v>1066.2</v>
      </c>
      <c r="AB93" s="9">
        <f t="shared" si="36"/>
        <v>-43.399999999999864</v>
      </c>
      <c r="AC93" s="9">
        <v>187.5</v>
      </c>
      <c r="AD93" s="9">
        <v>177.1</v>
      </c>
      <c r="AE93" s="9">
        <f t="shared" si="37"/>
        <v>-10.400000000000006</v>
      </c>
      <c r="AF93" s="9">
        <v>1111.4000000000001</v>
      </c>
      <c r="AG93" s="9">
        <v>1067</v>
      </c>
      <c r="AH93" s="9">
        <f t="shared" si="38"/>
        <v>-44.400000000000091</v>
      </c>
      <c r="AI93" s="9">
        <v>188.1</v>
      </c>
      <c r="AJ93" s="9">
        <v>177.5</v>
      </c>
      <c r="AK93" s="9">
        <f t="shared" si="39"/>
        <v>-10.599999999999994</v>
      </c>
      <c r="AL93" s="9">
        <v>1117.3</v>
      </c>
      <c r="AM93" s="9">
        <v>1070.7</v>
      </c>
      <c r="AN93" s="9">
        <f t="shared" si="40"/>
        <v>-46.599999999999909</v>
      </c>
      <c r="AO93" s="9">
        <v>189.9</v>
      </c>
      <c r="AP93" s="9">
        <v>178.2</v>
      </c>
      <c r="AQ93" s="9">
        <f t="shared" si="41"/>
        <v>-11.700000000000017</v>
      </c>
    </row>
    <row r="94" spans="1:43" x14ac:dyDescent="0.25">
      <c r="A94" s="10">
        <v>93</v>
      </c>
      <c r="B94" s="9">
        <v>1112.5</v>
      </c>
      <c r="C94" s="9">
        <v>1064.2</v>
      </c>
      <c r="D94" s="9">
        <f t="shared" si="28"/>
        <v>-48.299999999999955</v>
      </c>
      <c r="E94" s="9">
        <v>189.9</v>
      </c>
      <c r="F94" s="9">
        <v>174.3</v>
      </c>
      <c r="G94" s="9">
        <f t="shared" si="29"/>
        <v>-15.599999999999994</v>
      </c>
      <c r="H94" s="9">
        <v>1119.8</v>
      </c>
      <c r="I94" s="9">
        <v>1073.7</v>
      </c>
      <c r="J94" s="9">
        <f t="shared" si="30"/>
        <v>-46.099999999999909</v>
      </c>
      <c r="K94" s="9">
        <v>200.3</v>
      </c>
      <c r="L94" s="9">
        <v>188.4</v>
      </c>
      <c r="M94" s="9">
        <f t="shared" si="31"/>
        <v>-11.900000000000006</v>
      </c>
      <c r="N94" s="9">
        <v>1108.2</v>
      </c>
      <c r="O94" s="9">
        <v>1065.5</v>
      </c>
      <c r="P94" s="9">
        <f t="shared" si="32"/>
        <v>-42.700000000000045</v>
      </c>
      <c r="Q94" s="9">
        <v>186.3</v>
      </c>
      <c r="R94" s="9">
        <v>175.4</v>
      </c>
      <c r="S94" s="9">
        <f t="shared" si="33"/>
        <v>-10.900000000000006</v>
      </c>
      <c r="T94" s="9">
        <v>1108.9000000000001</v>
      </c>
      <c r="U94" s="9">
        <v>1066.0999999999999</v>
      </c>
      <c r="V94" s="9">
        <f t="shared" si="34"/>
        <v>-42.800000000000182</v>
      </c>
      <c r="W94" s="9">
        <v>186.9</v>
      </c>
      <c r="X94" s="9">
        <v>176</v>
      </c>
      <c r="Y94" s="9">
        <f t="shared" si="35"/>
        <v>-10.900000000000006</v>
      </c>
      <c r="Z94" s="9">
        <v>1108.9000000000001</v>
      </c>
      <c r="AA94" s="9">
        <v>1066.2</v>
      </c>
      <c r="AB94" s="9">
        <f t="shared" si="36"/>
        <v>-42.700000000000045</v>
      </c>
      <c r="AC94" s="9">
        <v>186.9</v>
      </c>
      <c r="AD94" s="9">
        <v>176.1</v>
      </c>
      <c r="AE94" s="9">
        <f t="shared" si="37"/>
        <v>-10.800000000000011</v>
      </c>
      <c r="AF94" s="9">
        <v>1110.2</v>
      </c>
      <c r="AG94" s="9">
        <v>1066.9000000000001</v>
      </c>
      <c r="AH94" s="9">
        <f t="shared" si="38"/>
        <v>-43.299999999999955</v>
      </c>
      <c r="AI94" s="9">
        <v>187.3</v>
      </c>
      <c r="AJ94" s="9">
        <v>176.3</v>
      </c>
      <c r="AK94" s="9">
        <f t="shared" si="39"/>
        <v>-11</v>
      </c>
      <c r="AL94" s="9">
        <v>1115.3</v>
      </c>
      <c r="AM94" s="9">
        <v>1070.7</v>
      </c>
      <c r="AN94" s="9">
        <f t="shared" si="40"/>
        <v>-44.599999999999909</v>
      </c>
      <c r="AO94" s="9">
        <v>188.7</v>
      </c>
      <c r="AP94" s="9">
        <v>177.1</v>
      </c>
      <c r="AQ94" s="9">
        <f t="shared" si="41"/>
        <v>-11.599999999999994</v>
      </c>
    </row>
    <row r="95" spans="1:43" x14ac:dyDescent="0.25">
      <c r="A95" s="10">
        <v>94</v>
      </c>
      <c r="B95" s="9">
        <v>1109.8</v>
      </c>
      <c r="C95" s="9">
        <v>1061.0999999999999</v>
      </c>
      <c r="D95" s="9">
        <f t="shared" si="28"/>
        <v>-48.700000000000045</v>
      </c>
      <c r="E95" s="9">
        <v>187.4</v>
      </c>
      <c r="F95" s="9">
        <v>173.1</v>
      </c>
      <c r="G95" s="9">
        <f t="shared" si="29"/>
        <v>-14.300000000000011</v>
      </c>
      <c r="H95" s="9">
        <v>1118.2</v>
      </c>
      <c r="I95" s="9">
        <v>1073.9000000000001</v>
      </c>
      <c r="J95" s="9">
        <f t="shared" si="30"/>
        <v>-44.299999999999955</v>
      </c>
      <c r="K95" s="9">
        <v>199.9</v>
      </c>
      <c r="L95" s="9">
        <v>187.5</v>
      </c>
      <c r="M95" s="9">
        <f t="shared" si="31"/>
        <v>-12.400000000000006</v>
      </c>
      <c r="N95" s="9">
        <v>1110.3</v>
      </c>
      <c r="O95" s="9">
        <v>1064.4000000000001</v>
      </c>
      <c r="P95" s="9">
        <f t="shared" si="32"/>
        <v>-45.899999999999864</v>
      </c>
      <c r="Q95" s="9">
        <v>188.2</v>
      </c>
      <c r="R95" s="9">
        <v>175.5</v>
      </c>
      <c r="S95" s="9">
        <f t="shared" si="33"/>
        <v>-12.699999999999989</v>
      </c>
      <c r="T95" s="9">
        <v>1111.2</v>
      </c>
      <c r="U95" s="9">
        <v>1065.3</v>
      </c>
      <c r="V95" s="9">
        <f t="shared" si="34"/>
        <v>-45.900000000000091</v>
      </c>
      <c r="W95" s="9">
        <v>188.9</v>
      </c>
      <c r="X95" s="9">
        <v>176.4</v>
      </c>
      <c r="Y95" s="9">
        <f t="shared" si="35"/>
        <v>-12.5</v>
      </c>
      <c r="Z95" s="9">
        <v>1111.8</v>
      </c>
      <c r="AA95" s="9">
        <v>1065.4000000000001</v>
      </c>
      <c r="AB95" s="9">
        <f t="shared" si="36"/>
        <v>-46.399999999999864</v>
      </c>
      <c r="AC95" s="9">
        <v>189.7</v>
      </c>
      <c r="AD95" s="9">
        <v>176.5</v>
      </c>
      <c r="AE95" s="9">
        <f t="shared" si="37"/>
        <v>-13.199999999999989</v>
      </c>
      <c r="AF95" s="9">
        <v>1113.7</v>
      </c>
      <c r="AG95" s="9">
        <v>1066.3</v>
      </c>
      <c r="AH95" s="9">
        <f t="shared" si="38"/>
        <v>-47.400000000000091</v>
      </c>
      <c r="AI95" s="9">
        <v>190.5</v>
      </c>
      <c r="AJ95" s="9">
        <v>176.9</v>
      </c>
      <c r="AK95" s="9">
        <f t="shared" si="39"/>
        <v>-13.599999999999994</v>
      </c>
      <c r="AL95" s="9">
        <v>1119</v>
      </c>
      <c r="AM95" s="9">
        <v>1070.2</v>
      </c>
      <c r="AN95" s="9">
        <f t="shared" si="40"/>
        <v>-48.799999999999955</v>
      </c>
      <c r="AO95" s="9">
        <v>192</v>
      </c>
      <c r="AP95" s="9">
        <v>177.8</v>
      </c>
      <c r="AQ95" s="9">
        <f t="shared" si="41"/>
        <v>-14.199999999999989</v>
      </c>
    </row>
    <row r="96" spans="1:43" x14ac:dyDescent="0.25">
      <c r="A96" s="10">
        <v>95</v>
      </c>
      <c r="B96" s="9">
        <v>1108.5999999999999</v>
      </c>
      <c r="C96" s="9">
        <v>1062.3</v>
      </c>
      <c r="D96" s="9">
        <f t="shared" si="28"/>
        <v>-46.299999999999955</v>
      </c>
      <c r="E96" s="9">
        <v>186.8</v>
      </c>
      <c r="F96" s="9">
        <v>173.7</v>
      </c>
      <c r="G96" s="9">
        <f t="shared" si="29"/>
        <v>-13.100000000000023</v>
      </c>
      <c r="H96" s="9">
        <v>1119.9000000000001</v>
      </c>
      <c r="I96" s="9">
        <v>1074.7</v>
      </c>
      <c r="J96" s="9">
        <f t="shared" si="30"/>
        <v>-45.200000000000045</v>
      </c>
      <c r="K96" s="9">
        <v>200.5</v>
      </c>
      <c r="L96" s="9">
        <v>188.9</v>
      </c>
      <c r="M96" s="9">
        <f t="shared" si="31"/>
        <v>-11.599999999999994</v>
      </c>
      <c r="N96" s="9">
        <v>1113.5999999999999</v>
      </c>
      <c r="O96" s="9">
        <v>1061.8</v>
      </c>
      <c r="P96" s="9">
        <f t="shared" si="32"/>
        <v>-51.799999999999955</v>
      </c>
      <c r="Q96" s="9">
        <v>191.2</v>
      </c>
      <c r="R96" s="9">
        <v>173.3</v>
      </c>
      <c r="S96" s="9">
        <f t="shared" si="33"/>
        <v>-17.899999999999977</v>
      </c>
      <c r="T96" s="9">
        <v>1114.3</v>
      </c>
      <c r="U96" s="9">
        <v>1062.7</v>
      </c>
      <c r="V96" s="9">
        <f t="shared" si="34"/>
        <v>-51.599999999999909</v>
      </c>
      <c r="W96" s="9">
        <v>192</v>
      </c>
      <c r="X96" s="9">
        <v>174.1</v>
      </c>
      <c r="Y96" s="9">
        <f t="shared" si="35"/>
        <v>-17.900000000000006</v>
      </c>
      <c r="Z96" s="9">
        <v>1114.4000000000001</v>
      </c>
      <c r="AA96" s="9">
        <v>1062.8</v>
      </c>
      <c r="AB96" s="9">
        <f t="shared" si="36"/>
        <v>-51.600000000000136</v>
      </c>
      <c r="AC96" s="9">
        <v>192.1</v>
      </c>
      <c r="AD96" s="9">
        <v>174.3</v>
      </c>
      <c r="AE96" s="9">
        <f t="shared" si="37"/>
        <v>-17.799999999999983</v>
      </c>
      <c r="AF96" s="9">
        <v>1116.3</v>
      </c>
      <c r="AG96" s="9">
        <v>1063.5999999999999</v>
      </c>
      <c r="AH96" s="9">
        <f t="shared" si="38"/>
        <v>-52.700000000000045</v>
      </c>
      <c r="AI96" s="9">
        <v>192.8</v>
      </c>
      <c r="AJ96" s="9">
        <v>174.5</v>
      </c>
      <c r="AK96" s="9">
        <f t="shared" si="39"/>
        <v>-18.300000000000011</v>
      </c>
      <c r="AL96" s="9">
        <v>1122</v>
      </c>
      <c r="AM96" s="9">
        <v>1067.5</v>
      </c>
      <c r="AN96" s="9">
        <f t="shared" si="40"/>
        <v>-54.5</v>
      </c>
      <c r="AO96" s="9">
        <v>194.2</v>
      </c>
      <c r="AP96" s="9">
        <v>175.5</v>
      </c>
      <c r="AQ96" s="9">
        <f t="shared" si="41"/>
        <v>-18.699999999999989</v>
      </c>
    </row>
    <row r="97" spans="1:43" x14ac:dyDescent="0.25">
      <c r="A97" s="10">
        <v>96</v>
      </c>
      <c r="B97" s="9">
        <v>1109</v>
      </c>
      <c r="C97" s="9">
        <v>1063.5</v>
      </c>
      <c r="D97" s="9">
        <f t="shared" si="28"/>
        <v>-45.5</v>
      </c>
      <c r="E97" s="9">
        <v>186.9</v>
      </c>
      <c r="F97" s="9">
        <v>175.8</v>
      </c>
      <c r="G97" s="9">
        <f t="shared" si="29"/>
        <v>-11.099999999999994</v>
      </c>
      <c r="H97" s="9">
        <v>1119.9000000000001</v>
      </c>
      <c r="I97" s="9">
        <v>1075.4000000000001</v>
      </c>
      <c r="J97" s="9">
        <f t="shared" si="30"/>
        <v>-44.5</v>
      </c>
      <c r="K97" s="9">
        <v>200.5</v>
      </c>
      <c r="L97" s="9">
        <v>190</v>
      </c>
      <c r="M97" s="9">
        <f t="shared" si="31"/>
        <v>-10.5</v>
      </c>
      <c r="N97" s="9">
        <v>1106.0999999999999</v>
      </c>
      <c r="O97" s="9">
        <v>1064</v>
      </c>
      <c r="P97" s="9">
        <f t="shared" si="32"/>
        <v>-42.099999999999909</v>
      </c>
      <c r="Q97" s="9">
        <v>184.2</v>
      </c>
      <c r="R97" s="9">
        <v>175.4</v>
      </c>
      <c r="S97" s="9">
        <f t="shared" si="33"/>
        <v>-8.7999999999999829</v>
      </c>
      <c r="T97" s="9">
        <v>1106.9000000000001</v>
      </c>
      <c r="U97" s="9">
        <v>1064.4000000000001</v>
      </c>
      <c r="V97" s="9">
        <f t="shared" si="34"/>
        <v>-42.5</v>
      </c>
      <c r="W97" s="9">
        <v>185.1</v>
      </c>
      <c r="X97" s="9">
        <v>175.8</v>
      </c>
      <c r="Y97" s="9">
        <f t="shared" si="35"/>
        <v>-9.2999999999999829</v>
      </c>
      <c r="Z97" s="9">
        <v>1107.5</v>
      </c>
      <c r="AA97" s="9">
        <v>1064.4000000000001</v>
      </c>
      <c r="AB97" s="9">
        <f t="shared" si="36"/>
        <v>-43.099999999999909</v>
      </c>
      <c r="AC97" s="9">
        <v>185.6</v>
      </c>
      <c r="AD97" s="9">
        <v>175.8</v>
      </c>
      <c r="AE97" s="9">
        <f t="shared" si="37"/>
        <v>-9.7999999999999829</v>
      </c>
      <c r="AF97" s="9">
        <v>1109.0999999999999</v>
      </c>
      <c r="AG97" s="9">
        <v>1065.0999999999999</v>
      </c>
      <c r="AH97" s="9">
        <f t="shared" si="38"/>
        <v>-44</v>
      </c>
      <c r="AI97" s="9">
        <v>186.2</v>
      </c>
      <c r="AJ97" s="9">
        <v>176.1</v>
      </c>
      <c r="AK97" s="9">
        <f t="shared" si="39"/>
        <v>-10.099999999999994</v>
      </c>
      <c r="AL97" s="9">
        <v>1114.5</v>
      </c>
      <c r="AM97" s="9">
        <v>1068.8</v>
      </c>
      <c r="AN97" s="9">
        <f t="shared" si="40"/>
        <v>-45.700000000000045</v>
      </c>
      <c r="AO97" s="9">
        <v>187.7</v>
      </c>
      <c r="AP97" s="9">
        <v>176.9</v>
      </c>
      <c r="AQ97" s="9">
        <f t="shared" si="41"/>
        <v>-10.799999999999983</v>
      </c>
    </row>
    <row r="98" spans="1:43" x14ac:dyDescent="0.25">
      <c r="A98" s="10">
        <v>97</v>
      </c>
      <c r="B98" s="9">
        <v>1106</v>
      </c>
      <c r="C98" s="9">
        <v>1063.7</v>
      </c>
      <c r="D98" s="9">
        <f t="shared" ref="D98:D129" si="42">C98-B98</f>
        <v>-42.299999999999955</v>
      </c>
      <c r="E98" s="9">
        <v>183.9</v>
      </c>
      <c r="F98" s="9">
        <v>174.6</v>
      </c>
      <c r="G98" s="9">
        <f t="shared" ref="G98:G129" si="43">F98-E98</f>
        <v>-9.3000000000000114</v>
      </c>
      <c r="H98" s="9">
        <v>1117.9000000000001</v>
      </c>
      <c r="I98" s="9">
        <v>1072.5999999999999</v>
      </c>
      <c r="J98" s="9">
        <f t="shared" ref="J98:J129" si="44">I98-H98</f>
        <v>-45.300000000000182</v>
      </c>
      <c r="K98" s="9">
        <v>199.1</v>
      </c>
      <c r="L98" s="9">
        <v>186.7</v>
      </c>
      <c r="M98" s="9">
        <f t="shared" ref="M98:M129" si="45">L98-K98</f>
        <v>-12.400000000000006</v>
      </c>
      <c r="N98" s="9">
        <v>1111.4000000000001</v>
      </c>
      <c r="O98" s="9">
        <v>1062.0999999999999</v>
      </c>
      <c r="P98" s="9">
        <f t="shared" ref="P98:P129" si="46">O98-N98</f>
        <v>-49.300000000000182</v>
      </c>
      <c r="Q98" s="9">
        <v>188.6</v>
      </c>
      <c r="R98" s="9">
        <v>173.2</v>
      </c>
      <c r="S98" s="9">
        <f t="shared" ref="S98:S129" si="47">R98-Q98</f>
        <v>-15.400000000000006</v>
      </c>
      <c r="T98" s="9">
        <v>1112.0999999999999</v>
      </c>
      <c r="U98" s="9">
        <v>1062.7</v>
      </c>
      <c r="V98" s="9">
        <f t="shared" ref="V98:V129" si="48">U98-T98</f>
        <v>-49.399999999999864</v>
      </c>
      <c r="W98" s="9">
        <v>189.4</v>
      </c>
      <c r="X98" s="9">
        <v>173.9</v>
      </c>
      <c r="Y98" s="9">
        <f t="shared" ref="Y98:Y129" si="49">X98-W98</f>
        <v>-15.5</v>
      </c>
      <c r="Z98" s="9">
        <v>1112.2</v>
      </c>
      <c r="AA98" s="9">
        <v>1062.8</v>
      </c>
      <c r="AB98" s="9">
        <f t="shared" ref="AB98:AB129" si="50">AA98-Z98</f>
        <v>-49.400000000000091</v>
      </c>
      <c r="AC98" s="9">
        <v>189.4</v>
      </c>
      <c r="AD98" s="9">
        <v>174</v>
      </c>
      <c r="AE98" s="9">
        <f t="shared" ref="AE98:AE129" si="51">AD98-AC98</f>
        <v>-15.400000000000006</v>
      </c>
      <c r="AF98" s="9">
        <v>1114.3</v>
      </c>
      <c r="AG98" s="9">
        <v>1063.5999999999999</v>
      </c>
      <c r="AH98" s="9">
        <f t="shared" ref="AH98:AH129" si="52">AG98-AF98</f>
        <v>-50.700000000000045</v>
      </c>
      <c r="AI98" s="9">
        <v>190.3</v>
      </c>
      <c r="AJ98" s="9">
        <v>174.3</v>
      </c>
      <c r="AK98" s="9">
        <f t="shared" ref="AK98:AK129" si="53">AJ98-AI98</f>
        <v>-16</v>
      </c>
      <c r="AL98" s="9">
        <v>1120</v>
      </c>
      <c r="AM98" s="9">
        <v>1067.7</v>
      </c>
      <c r="AN98" s="9">
        <f t="shared" ref="AN98:AN129" si="54">AM98-AL98</f>
        <v>-52.299999999999955</v>
      </c>
      <c r="AO98" s="9">
        <v>191.8</v>
      </c>
      <c r="AP98" s="9">
        <v>175.4</v>
      </c>
      <c r="AQ98" s="9">
        <f t="shared" ref="AQ98:AQ129" si="55">AP98-AO98</f>
        <v>-16.400000000000006</v>
      </c>
    </row>
    <row r="99" spans="1:43" x14ac:dyDescent="0.25">
      <c r="A99" s="10">
        <v>98</v>
      </c>
      <c r="B99" s="9">
        <v>1111.9000000000001</v>
      </c>
      <c r="C99" s="9">
        <v>1069.5</v>
      </c>
      <c r="D99" s="9">
        <f t="shared" si="42"/>
        <v>-42.400000000000091</v>
      </c>
      <c r="E99" s="9">
        <v>189.1</v>
      </c>
      <c r="F99" s="9">
        <v>180.3</v>
      </c>
      <c r="G99" s="9">
        <f t="shared" si="43"/>
        <v>-8.7999999999999829</v>
      </c>
      <c r="H99" s="9">
        <v>1117.7</v>
      </c>
      <c r="I99" s="9">
        <v>1073.8</v>
      </c>
      <c r="J99" s="9">
        <f t="shared" si="44"/>
        <v>-43.900000000000091</v>
      </c>
      <c r="K99" s="9">
        <v>198.4</v>
      </c>
      <c r="L99" s="9">
        <v>188.2</v>
      </c>
      <c r="M99" s="9">
        <f t="shared" si="45"/>
        <v>-10.200000000000017</v>
      </c>
      <c r="N99" s="9">
        <v>1112.2</v>
      </c>
      <c r="O99" s="9">
        <v>1065.3</v>
      </c>
      <c r="P99" s="9">
        <f t="shared" si="46"/>
        <v>-46.900000000000091</v>
      </c>
      <c r="Q99" s="9">
        <v>189.5</v>
      </c>
      <c r="R99" s="9">
        <v>175.6</v>
      </c>
      <c r="S99" s="9">
        <f t="shared" si="47"/>
        <v>-13.900000000000006</v>
      </c>
      <c r="T99" s="9">
        <v>1113</v>
      </c>
      <c r="U99" s="9">
        <v>1066</v>
      </c>
      <c r="V99" s="9">
        <f t="shared" si="48"/>
        <v>-47</v>
      </c>
      <c r="W99" s="9">
        <v>190.4</v>
      </c>
      <c r="X99" s="9">
        <v>176.2</v>
      </c>
      <c r="Y99" s="9">
        <f t="shared" si="49"/>
        <v>-14.200000000000017</v>
      </c>
      <c r="Z99" s="9">
        <v>1113</v>
      </c>
      <c r="AA99" s="9">
        <v>1066.3</v>
      </c>
      <c r="AB99" s="9">
        <f t="shared" si="50"/>
        <v>-46.700000000000045</v>
      </c>
      <c r="AC99" s="9">
        <v>190.4</v>
      </c>
      <c r="AD99" s="9">
        <v>176.5</v>
      </c>
      <c r="AE99" s="9">
        <f t="shared" si="51"/>
        <v>-13.900000000000006</v>
      </c>
      <c r="AF99" s="9">
        <v>1114.5999999999999</v>
      </c>
      <c r="AG99" s="9">
        <v>1067</v>
      </c>
      <c r="AH99" s="9">
        <f t="shared" si="52"/>
        <v>-47.599999999999909</v>
      </c>
      <c r="AI99" s="9">
        <v>191</v>
      </c>
      <c r="AJ99" s="9">
        <v>176.8</v>
      </c>
      <c r="AK99" s="9">
        <f t="shared" si="53"/>
        <v>-14.199999999999989</v>
      </c>
      <c r="AL99" s="9">
        <v>1120.0999999999999</v>
      </c>
      <c r="AM99" s="9">
        <v>1070.9000000000001</v>
      </c>
      <c r="AN99" s="9">
        <f t="shared" si="54"/>
        <v>-49.199999999999818</v>
      </c>
      <c r="AO99" s="9">
        <v>192.4</v>
      </c>
      <c r="AP99" s="9">
        <v>177.7</v>
      </c>
      <c r="AQ99" s="9">
        <f t="shared" si="55"/>
        <v>-14.700000000000017</v>
      </c>
    </row>
    <row r="100" spans="1:43" x14ac:dyDescent="0.25">
      <c r="A100" s="10">
        <v>99</v>
      </c>
      <c r="B100" s="9">
        <v>1112.5999999999999</v>
      </c>
      <c r="C100" s="9">
        <v>1061.7</v>
      </c>
      <c r="D100" s="9">
        <f t="shared" si="42"/>
        <v>-50.899999999999864</v>
      </c>
      <c r="E100" s="9">
        <v>190.1</v>
      </c>
      <c r="F100" s="9">
        <v>173.3</v>
      </c>
      <c r="G100" s="9">
        <f t="shared" si="43"/>
        <v>-16.799999999999983</v>
      </c>
      <c r="H100" s="9">
        <v>1120.8</v>
      </c>
      <c r="I100" s="9">
        <v>1074</v>
      </c>
      <c r="J100" s="9">
        <f t="shared" si="44"/>
        <v>-46.799999999999955</v>
      </c>
      <c r="K100" s="9">
        <v>201.4</v>
      </c>
      <c r="L100" s="9">
        <v>188.9</v>
      </c>
      <c r="M100" s="9">
        <f t="shared" si="45"/>
        <v>-12.5</v>
      </c>
      <c r="N100" s="9">
        <v>1107.7</v>
      </c>
      <c r="O100" s="9">
        <v>1060.5999999999999</v>
      </c>
      <c r="P100" s="9">
        <f t="shared" si="46"/>
        <v>-47.100000000000136</v>
      </c>
      <c r="Q100" s="9">
        <v>184.9</v>
      </c>
      <c r="R100" s="9">
        <v>171.6</v>
      </c>
      <c r="S100" s="9">
        <f t="shared" si="47"/>
        <v>-13.300000000000011</v>
      </c>
      <c r="T100" s="9">
        <v>1108.5</v>
      </c>
      <c r="U100" s="9">
        <v>1060.9000000000001</v>
      </c>
      <c r="V100" s="9">
        <f t="shared" si="48"/>
        <v>-47.599999999999909</v>
      </c>
      <c r="W100" s="9">
        <v>185.6</v>
      </c>
      <c r="X100" s="9">
        <v>171.9</v>
      </c>
      <c r="Y100" s="9">
        <f t="shared" si="49"/>
        <v>-13.699999999999989</v>
      </c>
      <c r="Z100" s="9">
        <v>1108.5</v>
      </c>
      <c r="AA100" s="9">
        <v>1060.9000000000001</v>
      </c>
      <c r="AB100" s="9">
        <f t="shared" si="50"/>
        <v>-47.599999999999909</v>
      </c>
      <c r="AC100" s="9">
        <v>185.7</v>
      </c>
      <c r="AD100" s="9">
        <v>171.9</v>
      </c>
      <c r="AE100" s="9">
        <f t="shared" si="51"/>
        <v>-13.799999999999983</v>
      </c>
      <c r="AF100" s="9">
        <v>1110.0999999999999</v>
      </c>
      <c r="AG100" s="9">
        <v>1061.3</v>
      </c>
      <c r="AH100" s="9">
        <f t="shared" si="52"/>
        <v>-48.799999999999955</v>
      </c>
      <c r="AI100" s="9">
        <v>186.3</v>
      </c>
      <c r="AJ100" s="9">
        <v>172</v>
      </c>
      <c r="AK100" s="9">
        <f t="shared" si="53"/>
        <v>-14.300000000000011</v>
      </c>
      <c r="AL100" s="9">
        <v>1115.3</v>
      </c>
      <c r="AM100" s="9">
        <v>1064.9000000000001</v>
      </c>
      <c r="AN100" s="9">
        <f t="shared" si="54"/>
        <v>-50.399999999999864</v>
      </c>
      <c r="AO100" s="9">
        <v>187.7</v>
      </c>
      <c r="AP100" s="9">
        <v>172.8</v>
      </c>
      <c r="AQ100" s="9">
        <f t="shared" si="55"/>
        <v>-14.899999999999977</v>
      </c>
    </row>
    <row r="101" spans="1:43" x14ac:dyDescent="0.25">
      <c r="A101" s="10">
        <v>100</v>
      </c>
      <c r="B101" s="9">
        <v>1111.4000000000001</v>
      </c>
      <c r="C101" s="9">
        <v>1065.5</v>
      </c>
      <c r="D101" s="9">
        <f t="shared" si="42"/>
        <v>-45.900000000000091</v>
      </c>
      <c r="E101" s="9">
        <v>189.8</v>
      </c>
      <c r="F101" s="9">
        <v>177.2</v>
      </c>
      <c r="G101" s="9">
        <f t="shared" si="43"/>
        <v>-12.600000000000023</v>
      </c>
      <c r="H101" s="9">
        <v>1119.5</v>
      </c>
      <c r="I101" s="9">
        <v>1072</v>
      </c>
      <c r="J101" s="9">
        <f t="shared" si="44"/>
        <v>-47.5</v>
      </c>
      <c r="K101" s="9">
        <v>200.1</v>
      </c>
      <c r="L101" s="9">
        <v>187.4</v>
      </c>
      <c r="M101" s="9">
        <f t="shared" si="45"/>
        <v>-12.699999999999989</v>
      </c>
      <c r="N101" s="9">
        <v>1109.5999999999999</v>
      </c>
      <c r="O101" s="9">
        <v>1065.7</v>
      </c>
      <c r="P101" s="9">
        <f t="shared" si="46"/>
        <v>-43.899999999999864</v>
      </c>
      <c r="Q101" s="9">
        <v>187.2</v>
      </c>
      <c r="R101" s="9">
        <v>177.7</v>
      </c>
      <c r="S101" s="9">
        <f t="shared" si="47"/>
        <v>-9.5</v>
      </c>
      <c r="T101" s="9">
        <v>1110</v>
      </c>
      <c r="U101" s="9">
        <v>1066</v>
      </c>
      <c r="V101" s="9">
        <f t="shared" si="48"/>
        <v>-44</v>
      </c>
      <c r="W101" s="9">
        <v>187.7</v>
      </c>
      <c r="X101" s="9">
        <v>178</v>
      </c>
      <c r="Y101" s="9">
        <f t="shared" si="49"/>
        <v>-9.6999999999999886</v>
      </c>
      <c r="Z101" s="9">
        <v>1110</v>
      </c>
      <c r="AA101" s="9">
        <v>1066.0999999999999</v>
      </c>
      <c r="AB101" s="9">
        <f t="shared" si="50"/>
        <v>-43.900000000000091</v>
      </c>
      <c r="AC101" s="9">
        <v>187.7</v>
      </c>
      <c r="AD101" s="9">
        <v>178.1</v>
      </c>
      <c r="AE101" s="9">
        <f t="shared" si="51"/>
        <v>-9.5999999999999943</v>
      </c>
      <c r="AF101" s="9">
        <v>1111.5</v>
      </c>
      <c r="AG101" s="9">
        <v>1066.9000000000001</v>
      </c>
      <c r="AH101" s="9">
        <f t="shared" si="52"/>
        <v>-44.599999999999909</v>
      </c>
      <c r="AI101" s="9">
        <v>188.1</v>
      </c>
      <c r="AJ101" s="9">
        <v>178.3</v>
      </c>
      <c r="AK101" s="9">
        <f t="shared" si="53"/>
        <v>-9.7999999999999829</v>
      </c>
      <c r="AL101" s="9">
        <v>1117.2</v>
      </c>
      <c r="AM101" s="9">
        <v>1071.0999999999999</v>
      </c>
      <c r="AN101" s="9">
        <f t="shared" si="54"/>
        <v>-46.100000000000136</v>
      </c>
      <c r="AO101" s="9">
        <v>189.9</v>
      </c>
      <c r="AP101" s="9">
        <v>179.5</v>
      </c>
      <c r="AQ101" s="9">
        <f t="shared" si="55"/>
        <v>-10.400000000000006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vt:i4>
      </vt:variant>
    </vt:vector>
  </HeadingPairs>
  <TitlesOfParts>
    <vt:vector size="16" baseType="lpstr">
      <vt:lpstr>Leeme</vt:lpstr>
      <vt:lpstr>Resumen</vt:lpstr>
      <vt:lpstr>Efecto F100</vt:lpstr>
      <vt:lpstr>Sensibilidad</vt:lpstr>
      <vt:lpstr>Constitucion</vt:lpstr>
      <vt:lpstr>Control base</vt:lpstr>
      <vt:lpstr>Control F90</vt:lpstr>
      <vt:lpstr>Control F100</vt:lpstr>
      <vt:lpstr>Control F120</vt:lpstr>
      <vt:lpstr>Control F150</vt:lpstr>
      <vt:lpstr>Control F189</vt:lpstr>
      <vt:lpstr>AnyLogic sin F</vt:lpstr>
      <vt:lpstr>AnyLogic F100</vt:lpstr>
      <vt:lpstr>AnyLogic frecuencias</vt:lpstr>
      <vt:lpstr>Sensibilidad réplicas</vt:lpstr>
      <vt:lpstr>z_95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Bruno Neirotti</cp:lastModifiedBy>
  <dcterms:created xsi:type="dcterms:W3CDTF">2026-10-28T19:03:10Z</dcterms:created>
  <dcterms:modified xsi:type="dcterms:W3CDTF">2026-10-28T19:09:15Z</dcterms:modified>
</cp:coreProperties>
</file>